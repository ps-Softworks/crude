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werte" sheetId="1" state="visible" r:id="rId1"/>
    <sheet name="Runden" sheetId="2" state="visible" r:id="rId2"/>
    <sheet name="Quellen" sheetId="3" state="visible" r:id="rId3"/>
    <sheet name="Pleiterech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$&quot;;-#,##0&quot; $&quot;;&quot;-&quot;"/>
    <numFmt numFmtId="165" formatCode="0;-0;&quot;-&quot;"/>
    <numFmt numFmtId="166" formatCode="0.0%;-0.0%;&quot;-&quot;"/>
    <numFmt numFmtId="167" formatCode="#,##0;-#,##0;&quot;-&quot;"/>
    <numFmt numFmtId="168" formatCode="#,##0.00&quot; $&quot;;-#,##0.00&quot; $&quot;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color rgb="00008000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3" borderId="0" pivotButton="0" quotePrefix="0" xfId="0"/>
    <xf numFmtId="0" fontId="6" fillId="0" borderId="0" pivotButton="0" quotePrefix="0" xfId="0"/>
    <xf numFmtId="165" fontId="5" fillId="3" borderId="0" pivotButton="0" quotePrefix="0" xfId="0"/>
    <xf numFmtId="166" fontId="5" fillId="3" borderId="0" pivotButton="0" quotePrefix="0" xfId="0"/>
    <xf numFmtId="0" fontId="8" fillId="0" borderId="0" pivotButton="0" quotePrefix="0" xfId="0"/>
    <xf numFmtId="167" fontId="5" fillId="3" borderId="0" pivotButton="0" quotePrefix="0" xfId="0"/>
    <xf numFmtId="168" fontId="5" fillId="3" borderId="0" pivotButton="0" quotePrefix="0" xfId="0"/>
    <xf numFmtId="0" fontId="4" fillId="0" borderId="1" pivotButton="0" quotePrefix="0" xfId="0"/>
    <xf numFmtId="165" fontId="5" fillId="3" borderId="1" pivotButton="0" quotePrefix="0" xfId="0"/>
    <xf numFmtId="0" fontId="5" fillId="3" borderId="1" pivotButton="0" quotePrefix="0" xfId="0"/>
    <xf numFmtId="167" fontId="5" fillId="3" borderId="1" pivotButton="0" quotePrefix="0" xfId="0"/>
    <xf numFmtId="164" fontId="9" fillId="0" borderId="1" pivotButton="0" quotePrefix="0" xfId="0"/>
    <xf numFmtId="164" fontId="4" fillId="0" borderId="1" pivotButton="0" quotePrefix="0" xfId="0"/>
    <xf numFmtId="167" fontId="9" fillId="0" borderId="1" pivotButton="0" quotePrefix="0" xfId="0"/>
    <xf numFmtId="165" fontId="4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165" fontId="10" fillId="4" borderId="1" pivotButton="0" quotePrefix="0" xfId="0"/>
    <xf numFmtId="164" fontId="10" fillId="4" borderId="1" pivotButton="0" quotePrefix="0" xfId="0"/>
    <xf numFmtId="167" fontId="10" fillId="4" borderId="1" pivotButton="0" quotePrefix="0" xfId="0"/>
    <xf numFmtId="0" fontId="3" fillId="2" borderId="0" pivotButton="0" quotePrefix="0" xfId="0"/>
    <xf numFmtId="165" fontId="9" fillId="0" borderId="0" pivotButton="0" quotePrefix="0" xfId="0"/>
    <xf numFmtId="165" fontId="4" fillId="0" borderId="0" pivotButton="0" quotePrefix="0" xfId="0"/>
    <xf numFmtId="167" fontId="9" fillId="0" borderId="0" pivotButton="0" quotePrefix="0" xfId="0"/>
    <xf numFmtId="167" fontId="4" fillId="0" borderId="0" pivotButton="0" quotePrefix="0" xfId="0"/>
    <xf numFmtId="164" fontId="5" fillId="3" borderId="1" pivotButton="0" quotePrefix="0" xfId="0"/>
    <xf numFmtId="1" fontId="3" fillId="0" borderId="1" applyAlignment="1" pivotButton="0" quotePrefix="0" xfId="0">
      <alignment horizontal="center"/>
    </xf>
    <xf numFmtId="164" fontId="3" fillId="2" borderId="0" pivotButton="0" quotePrefix="0" xfId="0"/>
    <xf numFmtId="9" fontId="3" fillId="0" borderId="1" applyAlignment="1" pivotButton="0" quotePrefix="0" xfId="0">
      <alignment horizontal="center"/>
    </xf>
    <xf numFmtId="164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B6B6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60" customWidth="1" min="4" max="4"/>
  </cols>
  <sheetData>
    <row r="1">
      <c r="A1" s="1" t="inlineStr">
        <is>
          <t>CRUDE – Tabellenmodell Kapitel 1 (Roadmap 0.6)</t>
        </is>
      </c>
    </row>
    <row r="2">
      <c r="A2" s="2" t="inlineStr">
        <is>
          <t>Gelbe Zellen mit blauer Schrift sind Stellschrauben: ändern, dann rechnen alle Blätter neu. Schwarze Zellen sind Formeln – nicht überschreiben.</t>
        </is>
      </c>
    </row>
    <row r="3">
      <c r="A3" s="2" t="inlineStr">
        <is>
          <t>Werte aus GDD §15 (Startwerte Kapitel 1). Rot markierte Quellen sind Annahmen, die im GDD noch fehlen.</t>
        </is>
      </c>
    </row>
    <row r="4">
      <c r="A4" s="3" t="inlineStr">
        <is>
          <t>Parameter</t>
        </is>
      </c>
      <c r="B4" s="3" t="inlineStr">
        <is>
          <t>Wert</t>
        </is>
      </c>
      <c r="C4" s="3" t="inlineStr">
        <is>
          <t>Einheit</t>
        </is>
      </c>
      <c r="D4" s="3" t="inlineStr">
        <is>
          <t>Quelle</t>
        </is>
      </c>
    </row>
    <row r="5">
      <c r="A5" s="4" t="inlineStr">
        <is>
          <t>Bargeld zu Beginn</t>
        </is>
      </c>
      <c r="B5" s="5" t="n">
        <v>2000</v>
      </c>
      <c r="C5" s="4" t="inlineStr">
        <is>
          <t>$</t>
        </is>
      </c>
      <c r="D5" s="6" t="inlineStr">
        <is>
          <t>GDD §15</t>
        </is>
      </c>
    </row>
    <row r="6">
      <c r="A6" s="4" t="inlineStr">
        <is>
          <t>Bohrkosten je Bohrung bis 300 m (Seilschlag)</t>
        </is>
      </c>
      <c r="B6" s="5" t="n">
        <v>2000</v>
      </c>
      <c r="C6" s="4" t="inlineStr">
        <is>
          <t>$</t>
        </is>
      </c>
      <c r="D6" s="6" t="inlineStr">
        <is>
          <t>GDD §15: 1.500–3.000 $ – hier die Mitte</t>
        </is>
      </c>
    </row>
    <row r="7">
      <c r="A7" s="4" t="inlineStr">
        <is>
          <t>Pachtbonus je Parzelle (Randlage)</t>
        </is>
      </c>
      <c r="B7" s="5" t="n">
        <v>150</v>
      </c>
      <c r="C7" s="4" t="inlineStr">
        <is>
          <t>$</t>
        </is>
      </c>
      <c r="D7" s="6" t="inlineStr">
        <is>
          <t>GDD §15: 50–300 $ in Randlage – hier die Mitte</t>
        </is>
      </c>
    </row>
    <row r="8">
      <c r="A8" s="4" t="inlineStr">
        <is>
          <t>Pachtoptionen ohne Bonus zu Beginn</t>
        </is>
      </c>
      <c r="B8" s="7" t="n">
        <v>2</v>
      </c>
      <c r="C8" s="4" t="inlineStr">
        <is>
          <t>Parzellen</t>
        </is>
      </c>
      <c r="D8" s="6" t="inlineStr">
        <is>
          <t>GDD §13, Kapitel 1: Pachtoption auf 2 Parzellen</t>
        </is>
      </c>
    </row>
    <row r="9">
      <c r="A9" s="4" t="inlineStr">
        <is>
          <t>Förderzins an Landbesitzer</t>
        </is>
      </c>
      <c r="B9" s="8" t="n">
        <v>0.125</v>
      </c>
      <c r="C9" s="4" t="inlineStr">
        <is>
          <t>der Förderung</t>
        </is>
      </c>
      <c r="D9" s="6" t="inlineStr">
        <is>
          <t>GDD §15: 1/8</t>
        </is>
      </c>
    </row>
    <row r="10">
      <c r="A10" s="4" t="inlineStr">
        <is>
          <t>Anteil von Silas an den ersten Quellen</t>
        </is>
      </c>
      <c r="B10" s="8" t="n">
        <v>0.3</v>
      </c>
      <c r="C10" s="4" t="inlineStr">
        <is>
          <t>vom Gewinn</t>
        </is>
      </c>
      <c r="D10" s="6" t="inlineStr">
        <is>
          <t>GDD §15: 30 % (für den Bohrturm)</t>
        </is>
      </c>
    </row>
    <row r="11">
      <c r="A11" s="4" t="inlineStr">
        <is>
          <t>Für wie viele Quellen Silas mitverdient</t>
        </is>
      </c>
      <c r="B11" s="7" t="n">
        <v>2</v>
      </c>
      <c r="C11" s="4" t="inlineStr">
        <is>
          <t>Quellen</t>
        </is>
      </c>
      <c r="D11" s="9" t="inlineStr">
        <is>
          <t>ANNAHME: GDD sagt nur „die ersten Quellen“</t>
        </is>
      </c>
    </row>
    <row r="12">
      <c r="A12" s="4" t="inlineStr">
        <is>
          <t>Anfangsrate eines Funds</t>
        </is>
      </c>
      <c r="B12" s="10" t="n">
        <v>150</v>
      </c>
      <c r="C12" s="4" t="inlineStr">
        <is>
          <t>bbl/Tag</t>
        </is>
      </c>
      <c r="D12" s="6" t="inlineStr">
        <is>
          <t>GDD §15: 50–500 bbl/Tag (Gusher deutlich mehr)</t>
        </is>
      </c>
    </row>
    <row r="13">
      <c r="A13" s="4" t="inlineStr">
        <is>
          <t>Rückgang der Förderung pro Quartal</t>
        </is>
      </c>
      <c r="B13" s="8" t="n">
        <v>0.12</v>
      </c>
      <c r="C13" s="4" t="inlineStr">
        <is>
          <t>pro Quartal</t>
        </is>
      </c>
      <c r="D13" s="6" t="inlineStr">
        <is>
          <t>GDD §15: 8–15 %</t>
        </is>
      </c>
    </row>
    <row r="14">
      <c r="A14" s="4" t="inlineStr">
        <is>
          <t>Tage pro Runde (Quartal)</t>
        </is>
      </c>
      <c r="B14" s="7" t="n">
        <v>91</v>
      </c>
      <c r="C14" s="4" t="inlineStr">
        <is>
          <t>Tage</t>
        </is>
      </c>
      <c r="D14" s="6" t="inlineStr">
        <is>
          <t>GDD §2: Runde = Quartal</t>
        </is>
      </c>
    </row>
    <row r="15">
      <c r="A15" s="4" t="inlineStr">
        <is>
          <t>Ölpreis ab Quelle</t>
        </is>
      </c>
      <c r="B15" s="11" t="n">
        <v>1</v>
      </c>
      <c r="C15" s="4" t="inlineStr">
        <is>
          <t>$/bbl</t>
        </is>
      </c>
      <c r="D15" s="9" t="inlineStr">
        <is>
          <t>ANNAHME: etwa Spindletop-Zeit um 1901; GDD nennt keinen Wert</t>
        </is>
      </c>
    </row>
    <row r="16">
      <c r="A16" s="4" t="inlineStr">
        <is>
          <t>Transport mit dem Fuhrwerk</t>
        </is>
      </c>
      <c r="B16" s="11" t="n">
        <v>0.25</v>
      </c>
      <c r="C16" s="4" t="inlineStr">
        <is>
          <t>$/bbl</t>
        </is>
      </c>
      <c r="D16" s="9" t="inlineStr">
        <is>
          <t>ANNAHME: GDD §6 sagt nur „sehr hoch“</t>
        </is>
      </c>
    </row>
    <row r="17">
      <c r="A17" s="4" t="inlineStr">
        <is>
          <t>Kreditrahmen der Bank</t>
        </is>
      </c>
      <c r="B17" s="5" t="n">
        <v>3000</v>
      </c>
      <c r="C17" s="4" t="inlineStr">
        <is>
          <t>$</t>
        </is>
      </c>
      <c r="D17" s="9" t="inlineStr">
        <is>
          <t>ANNAHME: GDD nennt keinen Rahmen für Kapitel 1</t>
        </is>
      </c>
    </row>
    <row r="18">
      <c r="A18" s="4" t="inlineStr">
        <is>
          <t>Kreditzins pro Jahr (Rating C)</t>
        </is>
      </c>
      <c r="B18" s="8" t="n">
        <v>0.1</v>
      </c>
      <c r="C18" s="4" t="inlineStr">
        <is>
          <t>pro Jahr</t>
        </is>
      </c>
      <c r="D18" s="6" t="inlineStr">
        <is>
          <t>GDD §15/§8: A 5 % · B 7 % · C 10 % · D 15 %</t>
        </is>
      </c>
    </row>
    <row r="19">
      <c r="A19" s="4" t="inlineStr">
        <is>
          <t>Überschuss tilgt Kredit automatisch? (1 = ja, 0 = nein)</t>
        </is>
      </c>
      <c r="B19" s="7" t="n">
        <v>0</v>
      </c>
      <c r="C19" s="4" t="inlineStr"/>
      <c r="D19" s="9" t="inlineStr">
        <is>
          <t>ANNAHME: Spielerentscheidung, hier als Schalter</t>
        </is>
      </c>
    </row>
    <row r="20">
      <c r="A20" s="4" t="inlineStr">
        <is>
          <t>Trefferquote einer Wildcat-Bohrung</t>
        </is>
      </c>
      <c r="B20" s="8" t="n">
        <v>0.15</v>
      </c>
      <c r="C20" s="4" t="inlineStr"/>
      <c r="D20" s="6" t="inlineStr">
        <is>
          <t>GDD §15: etwa 1 von 5 bis 1 von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9" customWidth="1" min="4" max="4"/>
    <col width="10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16 Runden (Kapitel 1, Jahr 1–4, je Runde ein Quartal)</t>
        </is>
      </c>
    </row>
    <row r="2">
      <c r="A2" s="2" t="inlineStr">
        <is>
          <t>Gelb = deine Eingaben je Runde: neue Parzellen pachten, bohren ja/nein, Ergebnis (Trocken/Fund) und Größe der Lagerstätte bei Fund. Vorgabe: Pechsträhne – jede Runde eine Bohrung, alle trocken.</t>
        </is>
      </c>
    </row>
    <row r="3">
      <c r="A3" s="2" t="inlineStr">
        <is>
          <t>Ablauf je Runde: Pacht und Bohrung bezahlen, Zinsen zahlen, Öl aus früheren Funden verkaufen. Reicht das Geld nicht, springt die Bank bis zum Kreditrahmen ein. Ist auch der ausgeschöpft: PLEITE. Ein Fund fördert ab der Folgerunde.</t>
        </is>
      </c>
    </row>
    <row r="4" ht="42" customHeight="1">
      <c r="A4" s="3" t="inlineStr">
        <is>
          <t>Runde</t>
        </is>
      </c>
      <c r="B4" s="3" t="inlineStr">
        <is>
          <t>Quartal</t>
        </is>
      </c>
      <c r="C4" s="3" t="inlineStr">
        <is>
          <t>Neue Parzellen pachten</t>
        </is>
      </c>
      <c r="D4" s="3" t="inlineStr">
        <is>
          <t>Bohren? (1/0)</t>
        </is>
      </c>
      <c r="E4" s="3" t="inlineStr">
        <is>
          <t>Ergebnis</t>
        </is>
      </c>
      <c r="F4" s="3" t="inlineStr">
        <is>
          <t>Lagerstätte bei Fund (bbl)</t>
        </is>
      </c>
      <c r="G4" s="3" t="inlineStr">
        <is>
          <t>Bargeld Anfang</t>
        </is>
      </c>
      <c r="H4" s="3" t="inlineStr">
        <is>
          <t>Schuld Anfang</t>
        </is>
      </c>
      <c r="I4" s="3" t="inlineStr">
        <is>
          <t>Pachtkosten</t>
        </is>
      </c>
      <c r="J4" s="3" t="inlineStr">
        <is>
          <t>Bohrkosten</t>
        </is>
      </c>
      <c r="K4" s="3" t="inlineStr">
        <is>
          <t>Zinsen</t>
        </is>
      </c>
      <c r="L4" s="3" t="inlineStr">
        <is>
          <t>Förderung (bbl)</t>
        </is>
      </c>
      <c r="M4" s="3" t="inlineStr">
        <is>
          <t>davon Silas-Quellen (bbl)</t>
        </is>
      </c>
      <c r="N4" s="3" t="inlineStr">
        <is>
          <t>Erlös nach Transport</t>
        </is>
      </c>
      <c r="O4" s="3" t="inlineStr">
        <is>
          <t>Förderzins Landbesitzer</t>
        </is>
      </c>
      <c r="P4" s="3" t="inlineStr">
        <is>
          <t>Anteil Silas</t>
        </is>
      </c>
      <c r="Q4" s="3" t="inlineStr">
        <is>
          <t>Cashflow der Runde</t>
        </is>
      </c>
      <c r="R4" s="3" t="inlineStr">
        <is>
          <t>Bargeld vor Kredit</t>
        </is>
      </c>
      <c r="S4" s="3" t="inlineStr">
        <is>
          <t>Neuer Kredit</t>
        </is>
      </c>
      <c r="T4" s="3" t="inlineStr">
        <is>
          <t>Tilgung</t>
        </is>
      </c>
      <c r="U4" s="3" t="inlineStr">
        <is>
          <t>Schuld Ende</t>
        </is>
      </c>
      <c r="V4" s="3" t="inlineStr">
        <is>
          <t>Bargeld Ende</t>
        </is>
      </c>
      <c r="W4" s="3" t="inlineStr">
        <is>
          <t>Trockenbohrungen bisher</t>
        </is>
      </c>
      <c r="X4" s="3" t="inlineStr">
        <is>
          <t>Status</t>
        </is>
      </c>
    </row>
    <row r="5">
      <c r="A5" s="12" t="n">
        <v>1</v>
      </c>
      <c r="B5" s="12" t="inlineStr">
        <is>
          <t>Jahr 1 · Q1</t>
        </is>
      </c>
      <c r="C5" s="13" t="n">
        <v>1</v>
      </c>
      <c r="D5" s="13" t="n">
        <v>1</v>
      </c>
      <c r="E5" s="14" t="inlineStr">
        <is>
          <t>Trocken</t>
        </is>
      </c>
      <c r="F5" s="15" t="n">
        <v>200000</v>
      </c>
      <c r="G5" s="16">
        <f>Startwerte!$B$5</f>
        <v/>
      </c>
      <c r="H5" s="17" t="n">
        <v>0</v>
      </c>
      <c r="I5" s="17">
        <f>(MAX(0,SUM($C$5:C5)-Startwerte!$B$8)-MAX(0,0-Startwerte!$B$8))*Startwerte!$B$7</f>
        <v/>
      </c>
      <c r="J5" s="17">
        <f>D5*Startwerte!$B$6</f>
        <v/>
      </c>
      <c r="K5" s="17">
        <f>H5*Startwerte!$B$18/4</f>
        <v/>
      </c>
      <c r="L5" s="18">
        <f>SUM(Quellen!$B$10:$Q$10)</f>
        <v/>
      </c>
      <c r="M5" s="18">
        <f>SUMPRODUCT(Quellen!$B$10:$Q$10,Quellen!$B$6:$Q$6)</f>
        <v/>
      </c>
      <c r="N5" s="17">
        <f>L5*(Startwerte!$B$15-Startwerte!$B$16)</f>
        <v/>
      </c>
      <c r="O5" s="17">
        <f>L5*Startwerte!$B$15*Startwerte!$B$9</f>
        <v/>
      </c>
      <c r="P5" s="17">
        <f>M5*(Startwerte!$B$15-Startwerte!$B$16-Startwerte!$B$15*Startwerte!$B$9)*Startwerte!$B$10</f>
        <v/>
      </c>
      <c r="Q5" s="17">
        <f>N5-O5-P5-I5-J5-K5</f>
        <v/>
      </c>
      <c r="R5" s="17">
        <f>G5+Q5</f>
        <v/>
      </c>
      <c r="S5" s="17">
        <f>IF(R5&lt;0,MIN(-R5,MAX(0,Startwerte!$B$17-H5)),0)</f>
        <v/>
      </c>
      <c r="T5" s="17">
        <f>IF(AND(Startwerte!$B$19=1,R5&gt;0),MIN(R5,H5),0)</f>
        <v/>
      </c>
      <c r="U5" s="17">
        <f>H5+S5-T5</f>
        <v/>
      </c>
      <c r="V5" s="17">
        <f>R5+S5-T5</f>
        <v/>
      </c>
      <c r="W5" s="19">
        <f>0+IF(AND(D5=1,E5="Trocken"),1,0)</f>
        <v/>
      </c>
      <c r="X5" s="20">
        <f>IF(OR(""="PLEITE",V5&lt;0),"PLEITE","ok")</f>
        <v/>
      </c>
    </row>
    <row r="6">
      <c r="A6" s="12" t="n">
        <v>2</v>
      </c>
      <c r="B6" s="12" t="inlineStr">
        <is>
          <t>Jahr 1 · Q2</t>
        </is>
      </c>
      <c r="C6" s="13" t="n">
        <v>1</v>
      </c>
      <c r="D6" s="13" t="n">
        <v>1</v>
      </c>
      <c r="E6" s="14" t="inlineStr">
        <is>
          <t>Trocken</t>
        </is>
      </c>
      <c r="F6" s="15" t="n">
        <v>200000</v>
      </c>
      <c r="G6" s="17">
        <f>V5</f>
        <v/>
      </c>
      <c r="H6" s="17">
        <f>U5</f>
        <v/>
      </c>
      <c r="I6" s="17">
        <f>(MAX(0,SUM($C$5:C6)-Startwerte!$B$8)-MAX(0,SUM($C$5:C5)-Startwerte!$B$8))*Startwerte!$B$7</f>
        <v/>
      </c>
      <c r="J6" s="17">
        <f>D6*Startwerte!$B$6</f>
        <v/>
      </c>
      <c r="K6" s="17">
        <f>H6*Startwerte!$B$18/4</f>
        <v/>
      </c>
      <c r="L6" s="18">
        <f>SUM(Quellen!$B$11:$Q$11)</f>
        <v/>
      </c>
      <c r="M6" s="18">
        <f>SUMPRODUCT(Quellen!$B$11:$Q$11,Quellen!$B$6:$Q$6)</f>
        <v/>
      </c>
      <c r="N6" s="17">
        <f>L6*(Startwerte!$B$15-Startwerte!$B$16)</f>
        <v/>
      </c>
      <c r="O6" s="17">
        <f>L6*Startwerte!$B$15*Startwerte!$B$9</f>
        <v/>
      </c>
      <c r="P6" s="17">
        <f>M6*(Startwerte!$B$15-Startwerte!$B$16-Startwerte!$B$15*Startwerte!$B$9)*Startwerte!$B$10</f>
        <v/>
      </c>
      <c r="Q6" s="17">
        <f>N6-O6-P6-I6-J6-K6</f>
        <v/>
      </c>
      <c r="R6" s="17">
        <f>G6+Q6</f>
        <v/>
      </c>
      <c r="S6" s="17">
        <f>IF(R6&lt;0,MIN(-R6,MAX(0,Startwerte!$B$17-H6)),0)</f>
        <v/>
      </c>
      <c r="T6" s="17">
        <f>IF(AND(Startwerte!$B$19=1,R6&gt;0),MIN(R6,H6),0)</f>
        <v/>
      </c>
      <c r="U6" s="17">
        <f>H6+S6-T6</f>
        <v/>
      </c>
      <c r="V6" s="17">
        <f>R6+S6-T6</f>
        <v/>
      </c>
      <c r="W6" s="19">
        <f>W5+IF(AND(D6=1,E6="Trocken"),1,0)</f>
        <v/>
      </c>
      <c r="X6" s="20">
        <f>IF(OR(X5="PLEITE",V6&lt;0),"PLEITE","ok")</f>
        <v/>
      </c>
    </row>
    <row r="7">
      <c r="A7" s="12" t="n">
        <v>3</v>
      </c>
      <c r="B7" s="12" t="inlineStr">
        <is>
          <t>Jahr 1 · Q3</t>
        </is>
      </c>
      <c r="C7" s="13" t="n">
        <v>1</v>
      </c>
      <c r="D7" s="13" t="n">
        <v>1</v>
      </c>
      <c r="E7" s="14" t="inlineStr">
        <is>
          <t>Trocken</t>
        </is>
      </c>
      <c r="F7" s="15" t="n">
        <v>200000</v>
      </c>
      <c r="G7" s="17">
        <f>V6</f>
        <v/>
      </c>
      <c r="H7" s="17">
        <f>U6</f>
        <v/>
      </c>
      <c r="I7" s="17">
        <f>(MAX(0,SUM($C$5:C7)-Startwerte!$B$8)-MAX(0,SUM($C$5:C6)-Startwerte!$B$8))*Startwerte!$B$7</f>
        <v/>
      </c>
      <c r="J7" s="17">
        <f>D7*Startwerte!$B$6</f>
        <v/>
      </c>
      <c r="K7" s="17">
        <f>H7*Startwerte!$B$18/4</f>
        <v/>
      </c>
      <c r="L7" s="18">
        <f>SUM(Quellen!$B$12:$Q$12)</f>
        <v/>
      </c>
      <c r="M7" s="18">
        <f>SUMPRODUCT(Quellen!$B$12:$Q$12,Quellen!$B$6:$Q$6)</f>
        <v/>
      </c>
      <c r="N7" s="17">
        <f>L7*(Startwerte!$B$15-Startwerte!$B$16)</f>
        <v/>
      </c>
      <c r="O7" s="17">
        <f>L7*Startwerte!$B$15*Startwerte!$B$9</f>
        <v/>
      </c>
      <c r="P7" s="17">
        <f>M7*(Startwerte!$B$15-Startwerte!$B$16-Startwerte!$B$15*Startwerte!$B$9)*Startwerte!$B$10</f>
        <v/>
      </c>
      <c r="Q7" s="17">
        <f>N7-O7-P7-I7-J7-K7</f>
        <v/>
      </c>
      <c r="R7" s="17">
        <f>G7+Q7</f>
        <v/>
      </c>
      <c r="S7" s="17">
        <f>IF(R7&lt;0,MIN(-R7,MAX(0,Startwerte!$B$17-H7)),0)</f>
        <v/>
      </c>
      <c r="T7" s="17">
        <f>IF(AND(Startwerte!$B$19=1,R7&gt;0),MIN(R7,H7),0)</f>
        <v/>
      </c>
      <c r="U7" s="17">
        <f>H7+S7-T7</f>
        <v/>
      </c>
      <c r="V7" s="17">
        <f>R7+S7-T7</f>
        <v/>
      </c>
      <c r="W7" s="19">
        <f>W6+IF(AND(D7=1,E7="Trocken"),1,0)</f>
        <v/>
      </c>
      <c r="X7" s="20">
        <f>IF(OR(X6="PLEITE",V7&lt;0),"PLEITE","ok")</f>
        <v/>
      </c>
    </row>
    <row r="8">
      <c r="A8" s="12" t="n">
        <v>4</v>
      </c>
      <c r="B8" s="12" t="inlineStr">
        <is>
          <t>Jahr 1 · Q4</t>
        </is>
      </c>
      <c r="C8" s="13" t="n">
        <v>1</v>
      </c>
      <c r="D8" s="13" t="n">
        <v>1</v>
      </c>
      <c r="E8" s="14" t="inlineStr">
        <is>
          <t>Trocken</t>
        </is>
      </c>
      <c r="F8" s="15" t="n">
        <v>200000</v>
      </c>
      <c r="G8" s="17">
        <f>V7</f>
        <v/>
      </c>
      <c r="H8" s="17">
        <f>U7</f>
        <v/>
      </c>
      <c r="I8" s="17">
        <f>(MAX(0,SUM($C$5:C8)-Startwerte!$B$8)-MAX(0,SUM($C$5:C7)-Startwerte!$B$8))*Startwerte!$B$7</f>
        <v/>
      </c>
      <c r="J8" s="17">
        <f>D8*Startwerte!$B$6</f>
        <v/>
      </c>
      <c r="K8" s="17">
        <f>H8*Startwerte!$B$18/4</f>
        <v/>
      </c>
      <c r="L8" s="18">
        <f>SUM(Quellen!$B$13:$Q$13)</f>
        <v/>
      </c>
      <c r="M8" s="18">
        <f>SUMPRODUCT(Quellen!$B$13:$Q$13,Quellen!$B$6:$Q$6)</f>
        <v/>
      </c>
      <c r="N8" s="17">
        <f>L8*(Startwerte!$B$15-Startwerte!$B$16)</f>
        <v/>
      </c>
      <c r="O8" s="17">
        <f>L8*Startwerte!$B$15*Startwerte!$B$9</f>
        <v/>
      </c>
      <c r="P8" s="17">
        <f>M8*(Startwerte!$B$15-Startwerte!$B$16-Startwerte!$B$15*Startwerte!$B$9)*Startwerte!$B$10</f>
        <v/>
      </c>
      <c r="Q8" s="17">
        <f>N8-O8-P8-I8-J8-K8</f>
        <v/>
      </c>
      <c r="R8" s="17">
        <f>G8+Q8</f>
        <v/>
      </c>
      <c r="S8" s="17">
        <f>IF(R8&lt;0,MIN(-R8,MAX(0,Startwerte!$B$17-H8)),0)</f>
        <v/>
      </c>
      <c r="T8" s="17">
        <f>IF(AND(Startwerte!$B$19=1,R8&gt;0),MIN(R8,H8),0)</f>
        <v/>
      </c>
      <c r="U8" s="17">
        <f>H8+S8-T8</f>
        <v/>
      </c>
      <c r="V8" s="17">
        <f>R8+S8-T8</f>
        <v/>
      </c>
      <c r="W8" s="19">
        <f>W7+IF(AND(D8=1,E8="Trocken"),1,0)</f>
        <v/>
      </c>
      <c r="X8" s="20">
        <f>IF(OR(X7="PLEITE",V8&lt;0),"PLEITE","ok")</f>
        <v/>
      </c>
    </row>
    <row r="9">
      <c r="A9" s="12" t="n">
        <v>5</v>
      </c>
      <c r="B9" s="12" t="inlineStr">
        <is>
          <t>Jahr 2 · Q1</t>
        </is>
      </c>
      <c r="C9" s="13" t="n">
        <v>1</v>
      </c>
      <c r="D9" s="13" t="n">
        <v>1</v>
      </c>
      <c r="E9" s="14" t="inlineStr">
        <is>
          <t>Trocken</t>
        </is>
      </c>
      <c r="F9" s="15" t="n">
        <v>200000</v>
      </c>
      <c r="G9" s="17">
        <f>V8</f>
        <v/>
      </c>
      <c r="H9" s="17">
        <f>U8</f>
        <v/>
      </c>
      <c r="I9" s="17">
        <f>(MAX(0,SUM($C$5:C9)-Startwerte!$B$8)-MAX(0,SUM($C$5:C8)-Startwerte!$B$8))*Startwerte!$B$7</f>
        <v/>
      </c>
      <c r="J9" s="17">
        <f>D9*Startwerte!$B$6</f>
        <v/>
      </c>
      <c r="K9" s="17">
        <f>H9*Startwerte!$B$18/4</f>
        <v/>
      </c>
      <c r="L9" s="18">
        <f>SUM(Quellen!$B$14:$Q$14)</f>
        <v/>
      </c>
      <c r="M9" s="18">
        <f>SUMPRODUCT(Quellen!$B$14:$Q$14,Quellen!$B$6:$Q$6)</f>
        <v/>
      </c>
      <c r="N9" s="17">
        <f>L9*(Startwerte!$B$15-Startwerte!$B$16)</f>
        <v/>
      </c>
      <c r="O9" s="17">
        <f>L9*Startwerte!$B$15*Startwerte!$B$9</f>
        <v/>
      </c>
      <c r="P9" s="17">
        <f>M9*(Startwerte!$B$15-Startwerte!$B$16-Startwerte!$B$15*Startwerte!$B$9)*Startwerte!$B$10</f>
        <v/>
      </c>
      <c r="Q9" s="17">
        <f>N9-O9-P9-I9-J9-K9</f>
        <v/>
      </c>
      <c r="R9" s="17">
        <f>G9+Q9</f>
        <v/>
      </c>
      <c r="S9" s="17">
        <f>IF(R9&lt;0,MIN(-R9,MAX(0,Startwerte!$B$17-H9)),0)</f>
        <v/>
      </c>
      <c r="T9" s="17">
        <f>IF(AND(Startwerte!$B$19=1,R9&gt;0),MIN(R9,H9),0)</f>
        <v/>
      </c>
      <c r="U9" s="17">
        <f>H9+S9-T9</f>
        <v/>
      </c>
      <c r="V9" s="17">
        <f>R9+S9-T9</f>
        <v/>
      </c>
      <c r="W9" s="19">
        <f>W8+IF(AND(D9=1,E9="Trocken"),1,0)</f>
        <v/>
      </c>
      <c r="X9" s="20">
        <f>IF(OR(X8="PLEITE",V9&lt;0),"PLEITE","ok")</f>
        <v/>
      </c>
    </row>
    <row r="10">
      <c r="A10" s="12" t="n">
        <v>6</v>
      </c>
      <c r="B10" s="12" t="inlineStr">
        <is>
          <t>Jahr 2 · Q2</t>
        </is>
      </c>
      <c r="C10" s="13" t="n">
        <v>1</v>
      </c>
      <c r="D10" s="13" t="n">
        <v>1</v>
      </c>
      <c r="E10" s="14" t="inlineStr">
        <is>
          <t>Trocken</t>
        </is>
      </c>
      <c r="F10" s="15" t="n">
        <v>200000</v>
      </c>
      <c r="G10" s="17">
        <f>V9</f>
        <v/>
      </c>
      <c r="H10" s="17">
        <f>U9</f>
        <v/>
      </c>
      <c r="I10" s="17">
        <f>(MAX(0,SUM($C$5:C10)-Startwerte!$B$8)-MAX(0,SUM($C$5:C9)-Startwerte!$B$8))*Startwerte!$B$7</f>
        <v/>
      </c>
      <c r="J10" s="17">
        <f>D10*Startwerte!$B$6</f>
        <v/>
      </c>
      <c r="K10" s="17">
        <f>H10*Startwerte!$B$18/4</f>
        <v/>
      </c>
      <c r="L10" s="18">
        <f>SUM(Quellen!$B$15:$Q$15)</f>
        <v/>
      </c>
      <c r="M10" s="18">
        <f>SUMPRODUCT(Quellen!$B$15:$Q$15,Quellen!$B$6:$Q$6)</f>
        <v/>
      </c>
      <c r="N10" s="17">
        <f>L10*(Startwerte!$B$15-Startwerte!$B$16)</f>
        <v/>
      </c>
      <c r="O10" s="17">
        <f>L10*Startwerte!$B$15*Startwerte!$B$9</f>
        <v/>
      </c>
      <c r="P10" s="17">
        <f>M10*(Startwerte!$B$15-Startwerte!$B$16-Startwerte!$B$15*Startwerte!$B$9)*Startwerte!$B$10</f>
        <v/>
      </c>
      <c r="Q10" s="17">
        <f>N10-O10-P10-I10-J10-K10</f>
        <v/>
      </c>
      <c r="R10" s="17">
        <f>G10+Q10</f>
        <v/>
      </c>
      <c r="S10" s="17">
        <f>IF(R10&lt;0,MIN(-R10,MAX(0,Startwerte!$B$17-H10)),0)</f>
        <v/>
      </c>
      <c r="T10" s="17">
        <f>IF(AND(Startwerte!$B$19=1,R10&gt;0),MIN(R10,H10),0)</f>
        <v/>
      </c>
      <c r="U10" s="17">
        <f>H10+S10-T10</f>
        <v/>
      </c>
      <c r="V10" s="17">
        <f>R10+S10-T10</f>
        <v/>
      </c>
      <c r="W10" s="19">
        <f>W9+IF(AND(D10=1,E10="Trocken"),1,0)</f>
        <v/>
      </c>
      <c r="X10" s="20">
        <f>IF(OR(X9="PLEITE",V10&lt;0),"PLEITE","ok")</f>
        <v/>
      </c>
    </row>
    <row r="11">
      <c r="A11" s="12" t="n">
        <v>7</v>
      </c>
      <c r="B11" s="12" t="inlineStr">
        <is>
          <t>Jahr 2 · Q3</t>
        </is>
      </c>
      <c r="C11" s="13" t="n">
        <v>1</v>
      </c>
      <c r="D11" s="13" t="n">
        <v>1</v>
      </c>
      <c r="E11" s="14" t="inlineStr">
        <is>
          <t>Trocken</t>
        </is>
      </c>
      <c r="F11" s="15" t="n">
        <v>200000</v>
      </c>
      <c r="G11" s="17">
        <f>V10</f>
        <v/>
      </c>
      <c r="H11" s="17">
        <f>U10</f>
        <v/>
      </c>
      <c r="I11" s="17">
        <f>(MAX(0,SUM($C$5:C11)-Startwerte!$B$8)-MAX(0,SUM($C$5:C10)-Startwerte!$B$8))*Startwerte!$B$7</f>
        <v/>
      </c>
      <c r="J11" s="17">
        <f>D11*Startwerte!$B$6</f>
        <v/>
      </c>
      <c r="K11" s="17">
        <f>H11*Startwerte!$B$18/4</f>
        <v/>
      </c>
      <c r="L11" s="18">
        <f>SUM(Quellen!$B$16:$Q$16)</f>
        <v/>
      </c>
      <c r="M11" s="18">
        <f>SUMPRODUCT(Quellen!$B$16:$Q$16,Quellen!$B$6:$Q$6)</f>
        <v/>
      </c>
      <c r="N11" s="17">
        <f>L11*(Startwerte!$B$15-Startwerte!$B$16)</f>
        <v/>
      </c>
      <c r="O11" s="17">
        <f>L11*Startwerte!$B$15*Startwerte!$B$9</f>
        <v/>
      </c>
      <c r="P11" s="17">
        <f>M11*(Startwerte!$B$15-Startwerte!$B$16-Startwerte!$B$15*Startwerte!$B$9)*Startwerte!$B$10</f>
        <v/>
      </c>
      <c r="Q11" s="17">
        <f>N11-O11-P11-I11-J11-K11</f>
        <v/>
      </c>
      <c r="R11" s="17">
        <f>G11+Q11</f>
        <v/>
      </c>
      <c r="S11" s="17">
        <f>IF(R11&lt;0,MIN(-R11,MAX(0,Startwerte!$B$17-H11)),0)</f>
        <v/>
      </c>
      <c r="T11" s="17">
        <f>IF(AND(Startwerte!$B$19=1,R11&gt;0),MIN(R11,H11),0)</f>
        <v/>
      </c>
      <c r="U11" s="17">
        <f>H11+S11-T11</f>
        <v/>
      </c>
      <c r="V11" s="17">
        <f>R11+S11-T11</f>
        <v/>
      </c>
      <c r="W11" s="19">
        <f>W10+IF(AND(D11=1,E11="Trocken"),1,0)</f>
        <v/>
      </c>
      <c r="X11" s="20">
        <f>IF(OR(X10="PLEITE",V11&lt;0),"PLEITE","ok")</f>
        <v/>
      </c>
    </row>
    <row r="12">
      <c r="A12" s="12" t="n">
        <v>8</v>
      </c>
      <c r="B12" s="12" t="inlineStr">
        <is>
          <t>Jahr 2 · Q4</t>
        </is>
      </c>
      <c r="C12" s="13" t="n">
        <v>1</v>
      </c>
      <c r="D12" s="13" t="n">
        <v>1</v>
      </c>
      <c r="E12" s="14" t="inlineStr">
        <is>
          <t>Trocken</t>
        </is>
      </c>
      <c r="F12" s="15" t="n">
        <v>200000</v>
      </c>
      <c r="G12" s="17">
        <f>V11</f>
        <v/>
      </c>
      <c r="H12" s="17">
        <f>U11</f>
        <v/>
      </c>
      <c r="I12" s="17">
        <f>(MAX(0,SUM($C$5:C12)-Startwerte!$B$8)-MAX(0,SUM($C$5:C11)-Startwerte!$B$8))*Startwerte!$B$7</f>
        <v/>
      </c>
      <c r="J12" s="17">
        <f>D12*Startwerte!$B$6</f>
        <v/>
      </c>
      <c r="K12" s="17">
        <f>H12*Startwerte!$B$18/4</f>
        <v/>
      </c>
      <c r="L12" s="18">
        <f>SUM(Quellen!$B$17:$Q$17)</f>
        <v/>
      </c>
      <c r="M12" s="18">
        <f>SUMPRODUCT(Quellen!$B$17:$Q$17,Quellen!$B$6:$Q$6)</f>
        <v/>
      </c>
      <c r="N12" s="17">
        <f>L12*(Startwerte!$B$15-Startwerte!$B$16)</f>
        <v/>
      </c>
      <c r="O12" s="17">
        <f>L12*Startwerte!$B$15*Startwerte!$B$9</f>
        <v/>
      </c>
      <c r="P12" s="17">
        <f>M12*(Startwerte!$B$15-Startwerte!$B$16-Startwerte!$B$15*Startwerte!$B$9)*Startwerte!$B$10</f>
        <v/>
      </c>
      <c r="Q12" s="17">
        <f>N12-O12-P12-I12-J12-K12</f>
        <v/>
      </c>
      <c r="R12" s="17">
        <f>G12+Q12</f>
        <v/>
      </c>
      <c r="S12" s="17">
        <f>IF(R12&lt;0,MIN(-R12,MAX(0,Startwerte!$B$17-H12)),0)</f>
        <v/>
      </c>
      <c r="T12" s="17">
        <f>IF(AND(Startwerte!$B$19=1,R12&gt;0),MIN(R12,H12),0)</f>
        <v/>
      </c>
      <c r="U12" s="17">
        <f>H12+S12-T12</f>
        <v/>
      </c>
      <c r="V12" s="17">
        <f>R12+S12-T12</f>
        <v/>
      </c>
      <c r="W12" s="19">
        <f>W11+IF(AND(D12=1,E12="Trocken"),1,0)</f>
        <v/>
      </c>
      <c r="X12" s="20">
        <f>IF(OR(X11="PLEITE",V12&lt;0),"PLEITE","ok")</f>
        <v/>
      </c>
    </row>
    <row r="13">
      <c r="A13" s="12" t="n">
        <v>9</v>
      </c>
      <c r="B13" s="12" t="inlineStr">
        <is>
          <t>Jahr 3 · Q1</t>
        </is>
      </c>
      <c r="C13" s="13" t="n">
        <v>1</v>
      </c>
      <c r="D13" s="13" t="n">
        <v>1</v>
      </c>
      <c r="E13" s="14" t="inlineStr">
        <is>
          <t>Trocken</t>
        </is>
      </c>
      <c r="F13" s="15" t="n">
        <v>200000</v>
      </c>
      <c r="G13" s="17">
        <f>V12</f>
        <v/>
      </c>
      <c r="H13" s="17">
        <f>U12</f>
        <v/>
      </c>
      <c r="I13" s="17">
        <f>(MAX(0,SUM($C$5:C13)-Startwerte!$B$8)-MAX(0,SUM($C$5:C12)-Startwerte!$B$8))*Startwerte!$B$7</f>
        <v/>
      </c>
      <c r="J13" s="17">
        <f>D13*Startwerte!$B$6</f>
        <v/>
      </c>
      <c r="K13" s="17">
        <f>H13*Startwerte!$B$18/4</f>
        <v/>
      </c>
      <c r="L13" s="18">
        <f>SUM(Quellen!$B$18:$Q$18)</f>
        <v/>
      </c>
      <c r="M13" s="18">
        <f>SUMPRODUCT(Quellen!$B$18:$Q$18,Quellen!$B$6:$Q$6)</f>
        <v/>
      </c>
      <c r="N13" s="17">
        <f>L13*(Startwerte!$B$15-Startwerte!$B$16)</f>
        <v/>
      </c>
      <c r="O13" s="17">
        <f>L13*Startwerte!$B$15*Startwerte!$B$9</f>
        <v/>
      </c>
      <c r="P13" s="17">
        <f>M13*(Startwerte!$B$15-Startwerte!$B$16-Startwerte!$B$15*Startwerte!$B$9)*Startwerte!$B$10</f>
        <v/>
      </c>
      <c r="Q13" s="17">
        <f>N13-O13-P13-I13-J13-K13</f>
        <v/>
      </c>
      <c r="R13" s="17">
        <f>G13+Q13</f>
        <v/>
      </c>
      <c r="S13" s="17">
        <f>IF(R13&lt;0,MIN(-R13,MAX(0,Startwerte!$B$17-H13)),0)</f>
        <v/>
      </c>
      <c r="T13" s="17">
        <f>IF(AND(Startwerte!$B$19=1,R13&gt;0),MIN(R13,H13),0)</f>
        <v/>
      </c>
      <c r="U13" s="17">
        <f>H13+S13-T13</f>
        <v/>
      </c>
      <c r="V13" s="17">
        <f>R13+S13-T13</f>
        <v/>
      </c>
      <c r="W13" s="19">
        <f>W12+IF(AND(D13=1,E13="Trocken"),1,0)</f>
        <v/>
      </c>
      <c r="X13" s="20">
        <f>IF(OR(X12="PLEITE",V13&lt;0),"PLEITE","ok")</f>
        <v/>
      </c>
    </row>
    <row r="14">
      <c r="A14" s="12" t="n">
        <v>10</v>
      </c>
      <c r="B14" s="12" t="inlineStr">
        <is>
          <t>Jahr 3 · Q2</t>
        </is>
      </c>
      <c r="C14" s="13" t="n">
        <v>1</v>
      </c>
      <c r="D14" s="13" t="n">
        <v>1</v>
      </c>
      <c r="E14" s="14" t="inlineStr">
        <is>
          <t>Trocken</t>
        </is>
      </c>
      <c r="F14" s="15" t="n">
        <v>200000</v>
      </c>
      <c r="G14" s="17">
        <f>V13</f>
        <v/>
      </c>
      <c r="H14" s="17">
        <f>U13</f>
        <v/>
      </c>
      <c r="I14" s="17">
        <f>(MAX(0,SUM($C$5:C14)-Startwerte!$B$8)-MAX(0,SUM($C$5:C13)-Startwerte!$B$8))*Startwerte!$B$7</f>
        <v/>
      </c>
      <c r="J14" s="17">
        <f>D14*Startwerte!$B$6</f>
        <v/>
      </c>
      <c r="K14" s="17">
        <f>H14*Startwerte!$B$18/4</f>
        <v/>
      </c>
      <c r="L14" s="18">
        <f>SUM(Quellen!$B$19:$Q$19)</f>
        <v/>
      </c>
      <c r="M14" s="18">
        <f>SUMPRODUCT(Quellen!$B$19:$Q$19,Quellen!$B$6:$Q$6)</f>
        <v/>
      </c>
      <c r="N14" s="17">
        <f>L14*(Startwerte!$B$15-Startwerte!$B$16)</f>
        <v/>
      </c>
      <c r="O14" s="17">
        <f>L14*Startwerte!$B$15*Startwerte!$B$9</f>
        <v/>
      </c>
      <c r="P14" s="17">
        <f>M14*(Startwerte!$B$15-Startwerte!$B$16-Startwerte!$B$15*Startwerte!$B$9)*Startwerte!$B$10</f>
        <v/>
      </c>
      <c r="Q14" s="17">
        <f>N14-O14-P14-I14-J14-K14</f>
        <v/>
      </c>
      <c r="R14" s="17">
        <f>G14+Q14</f>
        <v/>
      </c>
      <c r="S14" s="17">
        <f>IF(R14&lt;0,MIN(-R14,MAX(0,Startwerte!$B$17-H14)),0)</f>
        <v/>
      </c>
      <c r="T14" s="17">
        <f>IF(AND(Startwerte!$B$19=1,R14&gt;0),MIN(R14,H14),0)</f>
        <v/>
      </c>
      <c r="U14" s="17">
        <f>H14+S14-T14</f>
        <v/>
      </c>
      <c r="V14" s="17">
        <f>R14+S14-T14</f>
        <v/>
      </c>
      <c r="W14" s="19">
        <f>W13+IF(AND(D14=1,E14="Trocken"),1,0)</f>
        <v/>
      </c>
      <c r="X14" s="20">
        <f>IF(OR(X13="PLEITE",V14&lt;0),"PLEITE","ok")</f>
        <v/>
      </c>
    </row>
    <row r="15">
      <c r="A15" s="12" t="n">
        <v>11</v>
      </c>
      <c r="B15" s="12" t="inlineStr">
        <is>
          <t>Jahr 3 · Q3</t>
        </is>
      </c>
      <c r="C15" s="13" t="n">
        <v>1</v>
      </c>
      <c r="D15" s="13" t="n">
        <v>1</v>
      </c>
      <c r="E15" s="14" t="inlineStr">
        <is>
          <t>Trocken</t>
        </is>
      </c>
      <c r="F15" s="15" t="n">
        <v>200000</v>
      </c>
      <c r="G15" s="17">
        <f>V14</f>
        <v/>
      </c>
      <c r="H15" s="17">
        <f>U14</f>
        <v/>
      </c>
      <c r="I15" s="17">
        <f>(MAX(0,SUM($C$5:C15)-Startwerte!$B$8)-MAX(0,SUM($C$5:C14)-Startwerte!$B$8))*Startwerte!$B$7</f>
        <v/>
      </c>
      <c r="J15" s="17">
        <f>D15*Startwerte!$B$6</f>
        <v/>
      </c>
      <c r="K15" s="17">
        <f>H15*Startwerte!$B$18/4</f>
        <v/>
      </c>
      <c r="L15" s="18">
        <f>SUM(Quellen!$B$20:$Q$20)</f>
        <v/>
      </c>
      <c r="M15" s="18">
        <f>SUMPRODUCT(Quellen!$B$20:$Q$20,Quellen!$B$6:$Q$6)</f>
        <v/>
      </c>
      <c r="N15" s="17">
        <f>L15*(Startwerte!$B$15-Startwerte!$B$16)</f>
        <v/>
      </c>
      <c r="O15" s="17">
        <f>L15*Startwerte!$B$15*Startwerte!$B$9</f>
        <v/>
      </c>
      <c r="P15" s="17">
        <f>M15*(Startwerte!$B$15-Startwerte!$B$16-Startwerte!$B$15*Startwerte!$B$9)*Startwerte!$B$10</f>
        <v/>
      </c>
      <c r="Q15" s="17">
        <f>N15-O15-P15-I15-J15-K15</f>
        <v/>
      </c>
      <c r="R15" s="17">
        <f>G15+Q15</f>
        <v/>
      </c>
      <c r="S15" s="17">
        <f>IF(R15&lt;0,MIN(-R15,MAX(0,Startwerte!$B$17-H15)),0)</f>
        <v/>
      </c>
      <c r="T15" s="17">
        <f>IF(AND(Startwerte!$B$19=1,R15&gt;0),MIN(R15,H15),0)</f>
        <v/>
      </c>
      <c r="U15" s="17">
        <f>H15+S15-T15</f>
        <v/>
      </c>
      <c r="V15" s="17">
        <f>R15+S15-T15</f>
        <v/>
      </c>
      <c r="W15" s="19">
        <f>W14+IF(AND(D15=1,E15="Trocken"),1,0)</f>
        <v/>
      </c>
      <c r="X15" s="20">
        <f>IF(OR(X14="PLEITE",V15&lt;0),"PLEITE","ok")</f>
        <v/>
      </c>
    </row>
    <row r="16">
      <c r="A16" s="12" t="n">
        <v>12</v>
      </c>
      <c r="B16" s="12" t="inlineStr">
        <is>
          <t>Jahr 3 · Q4</t>
        </is>
      </c>
      <c r="C16" s="13" t="n">
        <v>1</v>
      </c>
      <c r="D16" s="13" t="n">
        <v>1</v>
      </c>
      <c r="E16" s="14" t="inlineStr">
        <is>
          <t>Trocken</t>
        </is>
      </c>
      <c r="F16" s="15" t="n">
        <v>200000</v>
      </c>
      <c r="G16" s="17">
        <f>V15</f>
        <v/>
      </c>
      <c r="H16" s="17">
        <f>U15</f>
        <v/>
      </c>
      <c r="I16" s="17">
        <f>(MAX(0,SUM($C$5:C16)-Startwerte!$B$8)-MAX(0,SUM($C$5:C15)-Startwerte!$B$8))*Startwerte!$B$7</f>
        <v/>
      </c>
      <c r="J16" s="17">
        <f>D16*Startwerte!$B$6</f>
        <v/>
      </c>
      <c r="K16" s="17">
        <f>H16*Startwerte!$B$18/4</f>
        <v/>
      </c>
      <c r="L16" s="18">
        <f>SUM(Quellen!$B$21:$Q$21)</f>
        <v/>
      </c>
      <c r="M16" s="18">
        <f>SUMPRODUCT(Quellen!$B$21:$Q$21,Quellen!$B$6:$Q$6)</f>
        <v/>
      </c>
      <c r="N16" s="17">
        <f>L16*(Startwerte!$B$15-Startwerte!$B$16)</f>
        <v/>
      </c>
      <c r="O16" s="17">
        <f>L16*Startwerte!$B$15*Startwerte!$B$9</f>
        <v/>
      </c>
      <c r="P16" s="17">
        <f>M16*(Startwerte!$B$15-Startwerte!$B$16-Startwerte!$B$15*Startwerte!$B$9)*Startwerte!$B$10</f>
        <v/>
      </c>
      <c r="Q16" s="17">
        <f>N16-O16-P16-I16-J16-K16</f>
        <v/>
      </c>
      <c r="R16" s="17">
        <f>G16+Q16</f>
        <v/>
      </c>
      <c r="S16" s="17">
        <f>IF(R16&lt;0,MIN(-R16,MAX(0,Startwerte!$B$17-H16)),0)</f>
        <v/>
      </c>
      <c r="T16" s="17">
        <f>IF(AND(Startwerte!$B$19=1,R16&gt;0),MIN(R16,H16),0)</f>
        <v/>
      </c>
      <c r="U16" s="17">
        <f>H16+S16-T16</f>
        <v/>
      </c>
      <c r="V16" s="17">
        <f>R16+S16-T16</f>
        <v/>
      </c>
      <c r="W16" s="19">
        <f>W15+IF(AND(D16=1,E16="Trocken"),1,0)</f>
        <v/>
      </c>
      <c r="X16" s="20">
        <f>IF(OR(X15="PLEITE",V16&lt;0),"PLEITE","ok")</f>
        <v/>
      </c>
    </row>
    <row r="17">
      <c r="A17" s="12" t="n">
        <v>13</v>
      </c>
      <c r="B17" s="12" t="inlineStr">
        <is>
          <t>Jahr 4 · Q1</t>
        </is>
      </c>
      <c r="C17" s="13" t="n">
        <v>1</v>
      </c>
      <c r="D17" s="13" t="n">
        <v>1</v>
      </c>
      <c r="E17" s="14" t="inlineStr">
        <is>
          <t>Trocken</t>
        </is>
      </c>
      <c r="F17" s="15" t="n">
        <v>200000</v>
      </c>
      <c r="G17" s="17">
        <f>V16</f>
        <v/>
      </c>
      <c r="H17" s="17">
        <f>U16</f>
        <v/>
      </c>
      <c r="I17" s="17">
        <f>(MAX(0,SUM($C$5:C17)-Startwerte!$B$8)-MAX(0,SUM($C$5:C16)-Startwerte!$B$8))*Startwerte!$B$7</f>
        <v/>
      </c>
      <c r="J17" s="17">
        <f>D17*Startwerte!$B$6</f>
        <v/>
      </c>
      <c r="K17" s="17">
        <f>H17*Startwerte!$B$18/4</f>
        <v/>
      </c>
      <c r="L17" s="18">
        <f>SUM(Quellen!$B$22:$Q$22)</f>
        <v/>
      </c>
      <c r="M17" s="18">
        <f>SUMPRODUCT(Quellen!$B$22:$Q$22,Quellen!$B$6:$Q$6)</f>
        <v/>
      </c>
      <c r="N17" s="17">
        <f>L17*(Startwerte!$B$15-Startwerte!$B$16)</f>
        <v/>
      </c>
      <c r="O17" s="17">
        <f>L17*Startwerte!$B$15*Startwerte!$B$9</f>
        <v/>
      </c>
      <c r="P17" s="17">
        <f>M17*(Startwerte!$B$15-Startwerte!$B$16-Startwerte!$B$15*Startwerte!$B$9)*Startwerte!$B$10</f>
        <v/>
      </c>
      <c r="Q17" s="17">
        <f>N17-O17-P17-I17-J17-K17</f>
        <v/>
      </c>
      <c r="R17" s="17">
        <f>G17+Q17</f>
        <v/>
      </c>
      <c r="S17" s="17">
        <f>IF(R17&lt;0,MIN(-R17,MAX(0,Startwerte!$B$17-H17)),0)</f>
        <v/>
      </c>
      <c r="T17" s="17">
        <f>IF(AND(Startwerte!$B$19=1,R17&gt;0),MIN(R17,H17),0)</f>
        <v/>
      </c>
      <c r="U17" s="17">
        <f>H17+S17-T17</f>
        <v/>
      </c>
      <c r="V17" s="17">
        <f>R17+S17-T17</f>
        <v/>
      </c>
      <c r="W17" s="19">
        <f>W16+IF(AND(D17=1,E17="Trocken"),1,0)</f>
        <v/>
      </c>
      <c r="X17" s="20">
        <f>IF(OR(X16="PLEITE",V17&lt;0),"PLEITE","ok")</f>
        <v/>
      </c>
    </row>
    <row r="18">
      <c r="A18" s="12" t="n">
        <v>14</v>
      </c>
      <c r="B18" s="12" t="inlineStr">
        <is>
          <t>Jahr 4 · Q2</t>
        </is>
      </c>
      <c r="C18" s="13" t="n">
        <v>1</v>
      </c>
      <c r="D18" s="13" t="n">
        <v>1</v>
      </c>
      <c r="E18" s="14" t="inlineStr">
        <is>
          <t>Trocken</t>
        </is>
      </c>
      <c r="F18" s="15" t="n">
        <v>200000</v>
      </c>
      <c r="G18" s="17">
        <f>V17</f>
        <v/>
      </c>
      <c r="H18" s="17">
        <f>U17</f>
        <v/>
      </c>
      <c r="I18" s="17">
        <f>(MAX(0,SUM($C$5:C18)-Startwerte!$B$8)-MAX(0,SUM($C$5:C17)-Startwerte!$B$8))*Startwerte!$B$7</f>
        <v/>
      </c>
      <c r="J18" s="17">
        <f>D18*Startwerte!$B$6</f>
        <v/>
      </c>
      <c r="K18" s="17">
        <f>H18*Startwerte!$B$18/4</f>
        <v/>
      </c>
      <c r="L18" s="18">
        <f>SUM(Quellen!$B$23:$Q$23)</f>
        <v/>
      </c>
      <c r="M18" s="18">
        <f>SUMPRODUCT(Quellen!$B$23:$Q$23,Quellen!$B$6:$Q$6)</f>
        <v/>
      </c>
      <c r="N18" s="17">
        <f>L18*(Startwerte!$B$15-Startwerte!$B$16)</f>
        <v/>
      </c>
      <c r="O18" s="17">
        <f>L18*Startwerte!$B$15*Startwerte!$B$9</f>
        <v/>
      </c>
      <c r="P18" s="17">
        <f>M18*(Startwerte!$B$15-Startwerte!$B$16-Startwerte!$B$15*Startwerte!$B$9)*Startwerte!$B$10</f>
        <v/>
      </c>
      <c r="Q18" s="17">
        <f>N18-O18-P18-I18-J18-K18</f>
        <v/>
      </c>
      <c r="R18" s="17">
        <f>G18+Q18</f>
        <v/>
      </c>
      <c r="S18" s="17">
        <f>IF(R18&lt;0,MIN(-R18,MAX(0,Startwerte!$B$17-H18)),0)</f>
        <v/>
      </c>
      <c r="T18" s="17">
        <f>IF(AND(Startwerte!$B$19=1,R18&gt;0),MIN(R18,H18),0)</f>
        <v/>
      </c>
      <c r="U18" s="17">
        <f>H18+S18-T18</f>
        <v/>
      </c>
      <c r="V18" s="17">
        <f>R18+S18-T18</f>
        <v/>
      </c>
      <c r="W18" s="19">
        <f>W17+IF(AND(D18=1,E18="Trocken"),1,0)</f>
        <v/>
      </c>
      <c r="X18" s="20">
        <f>IF(OR(X17="PLEITE",V18&lt;0),"PLEITE","ok")</f>
        <v/>
      </c>
    </row>
    <row r="19">
      <c r="A19" s="12" t="n">
        <v>15</v>
      </c>
      <c r="B19" s="12" t="inlineStr">
        <is>
          <t>Jahr 4 · Q3</t>
        </is>
      </c>
      <c r="C19" s="13" t="n">
        <v>1</v>
      </c>
      <c r="D19" s="13" t="n">
        <v>1</v>
      </c>
      <c r="E19" s="14" t="inlineStr">
        <is>
          <t>Trocken</t>
        </is>
      </c>
      <c r="F19" s="15" t="n">
        <v>200000</v>
      </c>
      <c r="G19" s="17">
        <f>V18</f>
        <v/>
      </c>
      <c r="H19" s="17">
        <f>U18</f>
        <v/>
      </c>
      <c r="I19" s="17">
        <f>(MAX(0,SUM($C$5:C19)-Startwerte!$B$8)-MAX(0,SUM($C$5:C18)-Startwerte!$B$8))*Startwerte!$B$7</f>
        <v/>
      </c>
      <c r="J19" s="17">
        <f>D19*Startwerte!$B$6</f>
        <v/>
      </c>
      <c r="K19" s="17">
        <f>H19*Startwerte!$B$18/4</f>
        <v/>
      </c>
      <c r="L19" s="18">
        <f>SUM(Quellen!$B$24:$Q$24)</f>
        <v/>
      </c>
      <c r="M19" s="18">
        <f>SUMPRODUCT(Quellen!$B$24:$Q$24,Quellen!$B$6:$Q$6)</f>
        <v/>
      </c>
      <c r="N19" s="17">
        <f>L19*(Startwerte!$B$15-Startwerte!$B$16)</f>
        <v/>
      </c>
      <c r="O19" s="17">
        <f>L19*Startwerte!$B$15*Startwerte!$B$9</f>
        <v/>
      </c>
      <c r="P19" s="17">
        <f>M19*(Startwerte!$B$15-Startwerte!$B$16-Startwerte!$B$15*Startwerte!$B$9)*Startwerte!$B$10</f>
        <v/>
      </c>
      <c r="Q19" s="17">
        <f>N19-O19-P19-I19-J19-K19</f>
        <v/>
      </c>
      <c r="R19" s="17">
        <f>G19+Q19</f>
        <v/>
      </c>
      <c r="S19" s="17">
        <f>IF(R19&lt;0,MIN(-R19,MAX(0,Startwerte!$B$17-H19)),0)</f>
        <v/>
      </c>
      <c r="T19" s="17">
        <f>IF(AND(Startwerte!$B$19=1,R19&gt;0),MIN(R19,H19),0)</f>
        <v/>
      </c>
      <c r="U19" s="17">
        <f>H19+S19-T19</f>
        <v/>
      </c>
      <c r="V19" s="17">
        <f>R19+S19-T19</f>
        <v/>
      </c>
      <c r="W19" s="19">
        <f>W18+IF(AND(D19=1,E19="Trocken"),1,0)</f>
        <v/>
      </c>
      <c r="X19" s="20">
        <f>IF(OR(X18="PLEITE",V19&lt;0),"PLEITE","ok")</f>
        <v/>
      </c>
    </row>
    <row r="20">
      <c r="A20" s="12" t="n">
        <v>16</v>
      </c>
      <c r="B20" s="12" t="inlineStr">
        <is>
          <t>Jahr 4 · Q4</t>
        </is>
      </c>
      <c r="C20" s="13" t="n">
        <v>1</v>
      </c>
      <c r="D20" s="13" t="n">
        <v>1</v>
      </c>
      <c r="E20" s="14" t="inlineStr">
        <is>
          <t>Trocken</t>
        </is>
      </c>
      <c r="F20" s="15" t="n">
        <v>200000</v>
      </c>
      <c r="G20" s="17">
        <f>V19</f>
        <v/>
      </c>
      <c r="H20" s="17">
        <f>U19</f>
        <v/>
      </c>
      <c r="I20" s="17">
        <f>(MAX(0,SUM($C$5:C20)-Startwerte!$B$8)-MAX(0,SUM($C$5:C19)-Startwerte!$B$8))*Startwerte!$B$7</f>
        <v/>
      </c>
      <c r="J20" s="17">
        <f>D20*Startwerte!$B$6</f>
        <v/>
      </c>
      <c r="K20" s="17">
        <f>H20*Startwerte!$B$18/4</f>
        <v/>
      </c>
      <c r="L20" s="18">
        <f>SUM(Quellen!$B$25:$Q$25)</f>
        <v/>
      </c>
      <c r="M20" s="18">
        <f>SUMPRODUCT(Quellen!$B$25:$Q$25,Quellen!$B$6:$Q$6)</f>
        <v/>
      </c>
      <c r="N20" s="17">
        <f>L20*(Startwerte!$B$15-Startwerte!$B$16)</f>
        <v/>
      </c>
      <c r="O20" s="17">
        <f>L20*Startwerte!$B$15*Startwerte!$B$9</f>
        <v/>
      </c>
      <c r="P20" s="17">
        <f>M20*(Startwerte!$B$15-Startwerte!$B$16-Startwerte!$B$15*Startwerte!$B$9)*Startwerte!$B$10</f>
        <v/>
      </c>
      <c r="Q20" s="17">
        <f>N20-O20-P20-I20-J20-K20</f>
        <v/>
      </c>
      <c r="R20" s="17">
        <f>G20+Q20</f>
        <v/>
      </c>
      <c r="S20" s="17">
        <f>IF(R20&lt;0,MIN(-R20,MAX(0,Startwerte!$B$17-H20)),0)</f>
        <v/>
      </c>
      <c r="T20" s="17">
        <f>IF(AND(Startwerte!$B$19=1,R20&gt;0),MIN(R20,H20),0)</f>
        <v/>
      </c>
      <c r="U20" s="17">
        <f>H20+S20-T20</f>
        <v/>
      </c>
      <c r="V20" s="17">
        <f>R20+S20-T20</f>
        <v/>
      </c>
      <c r="W20" s="19">
        <f>W19+IF(AND(D20=1,E20="Trocken"),1,0)</f>
        <v/>
      </c>
      <c r="X20" s="20">
        <f>IF(OR(X19="PLEITE",V20&lt;0),"PLEITE","ok")</f>
        <v/>
      </c>
    </row>
    <row r="22">
      <c r="A22" s="1" t="inlineStr">
        <is>
          <t>Ergebnis</t>
        </is>
      </c>
    </row>
    <row r="23">
      <c r="A23" s="21" t="inlineStr">
        <is>
          <t>Erste Runde mit PLEITE (0 = nie pleite)</t>
        </is>
      </c>
      <c r="G23" s="22">
        <f>IF(COUNTIF(X5:X20,"PLEITE")=0,0,16-COUNTIF(X5:X20,"PLEITE")+1)</f>
        <v/>
      </c>
    </row>
    <row r="24">
      <c r="A24" s="21" t="inlineStr">
        <is>
          <t>Trockenbohrungen, die Jacob noch bezahlen konnte</t>
        </is>
      </c>
      <c r="G24" s="22">
        <f>IF(G23=0,W20,IF(G23=1,0,INDEX(W5:W20,G23-1)))</f>
        <v/>
      </c>
    </row>
    <row r="25">
      <c r="A25" s="21" t="inlineStr">
        <is>
          <t>Bargeld am Ende von Runde 16</t>
        </is>
      </c>
      <c r="G25" s="23">
        <f>V20</f>
        <v/>
      </c>
    </row>
    <row r="26">
      <c r="A26" s="21" t="inlineStr">
        <is>
          <t>Schuld am Ende von Runde 16</t>
        </is>
      </c>
      <c r="G26" s="23">
        <f>U20</f>
        <v/>
      </c>
    </row>
    <row r="27">
      <c r="A27" s="21" t="inlineStr">
        <is>
          <t>Gefördertes Öl gesamt (bbl)</t>
        </is>
      </c>
      <c r="G27" s="24">
        <f>SUM(L5:L20)</f>
        <v/>
      </c>
    </row>
    <row r="29">
      <c r="A29" s="2" t="inlineStr">
        <is>
          <t>Hinweis: PLEITE heißt hier „Rechnung nicht mehr bezahlbar“. Im Spiel folgt laut GDD §8 erst eine Frist von 2 Runden (Notverkauf, Konsortium, Umschuldung). Die erste PLEITE-Runde ist also der Moment, in dem diese Frist beginnt.</t>
        </is>
      </c>
    </row>
  </sheetData>
  <conditionalFormatting sqref="A5:X20">
    <cfRule type="expression" priority="1" dxfId="0">
      <formula>$X5="PLEITE"</formula>
    </cfRule>
  </conditionalFormatting>
  <conditionalFormatting sqref="X5:X20">
    <cfRule type="expression" priority="2" dxfId="1">
      <formula>$X5="ok"</formula>
    </cfRule>
  </conditionalFormatting>
  <dataValidations count="2">
    <dataValidation sqref="E5 E6 E7 E8 E9 E10 E11 E12 E13 E14 E15 E16 E17 E18 E19 E20" showDropDown="0" showInputMessage="0" showErrorMessage="0" allowBlank="1" type="list">
      <formula1>"Trocken,Fund"</formula1>
    </dataValidation>
    <dataValidation sqref="D5 D6 D7 D8 D9 D10 D11 D12 D13 D14 D15 D16 D17 D18 D19 D20" showDropDown="0" showInputMessage="0" showErrorMessage="0" allowBlank="0" type="whole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Quellen: Förderung je Fund (Hilfsblatt, nur Formeln)</t>
        </is>
      </c>
    </row>
    <row r="2">
      <c r="A2" s="2" t="inlineStr">
        <is>
          <t>GDD §15: q_t = q₀ · (1 − D)^t · R_t / R₀ – jede Quelle fördert ab der Runde nach dem Fund, höchstens bis die Lagerstätte leer ist.</t>
        </is>
      </c>
    </row>
    <row r="3">
      <c r="A3" s="21" t="inlineStr">
        <is>
          <t>Quelle aus Runde</t>
        </is>
      </c>
      <c r="B3" s="25" t="n">
        <v>1</v>
      </c>
      <c r="C3" s="25" t="n">
        <v>2</v>
      </c>
      <c r="D3" s="25" t="n">
        <v>3</v>
      </c>
      <c r="E3" s="25" t="n">
        <v>4</v>
      </c>
      <c r="F3" s="25" t="n">
        <v>5</v>
      </c>
      <c r="G3" s="25" t="n">
        <v>6</v>
      </c>
      <c r="H3" s="25" t="n">
        <v>7</v>
      </c>
      <c r="I3" s="25" t="n">
        <v>8</v>
      </c>
      <c r="J3" s="25" t="n">
        <v>9</v>
      </c>
      <c r="K3" s="25" t="n">
        <v>10</v>
      </c>
      <c r="L3" s="25" t="n">
        <v>11</v>
      </c>
      <c r="M3" s="25" t="n">
        <v>12</v>
      </c>
      <c r="N3" s="25" t="n">
        <v>13</v>
      </c>
      <c r="O3" s="25" t="n">
        <v>14</v>
      </c>
      <c r="P3" s="25" t="n">
        <v>15</v>
      </c>
      <c r="Q3" s="25" t="n">
        <v>16</v>
      </c>
    </row>
    <row r="4">
      <c r="A4" s="21" t="inlineStr">
        <is>
          <t>Fund? (1/0)</t>
        </is>
      </c>
      <c r="B4" s="26">
        <f>IF(AND(Runden!$D$5=1,Runden!$E$5="Fund"),1,0)</f>
        <v/>
      </c>
      <c r="C4" s="26">
        <f>IF(AND(Runden!$D$6=1,Runden!$E$6="Fund"),1,0)</f>
        <v/>
      </c>
      <c r="D4" s="26">
        <f>IF(AND(Runden!$D$7=1,Runden!$E$7="Fund"),1,0)</f>
        <v/>
      </c>
      <c r="E4" s="26">
        <f>IF(AND(Runden!$D$8=1,Runden!$E$8="Fund"),1,0)</f>
        <v/>
      </c>
      <c r="F4" s="26">
        <f>IF(AND(Runden!$D$9=1,Runden!$E$9="Fund"),1,0)</f>
        <v/>
      </c>
      <c r="G4" s="26">
        <f>IF(AND(Runden!$D$10=1,Runden!$E$10="Fund"),1,0)</f>
        <v/>
      </c>
      <c r="H4" s="26">
        <f>IF(AND(Runden!$D$11=1,Runden!$E$11="Fund"),1,0)</f>
        <v/>
      </c>
      <c r="I4" s="26">
        <f>IF(AND(Runden!$D$12=1,Runden!$E$12="Fund"),1,0)</f>
        <v/>
      </c>
      <c r="J4" s="26">
        <f>IF(AND(Runden!$D$13=1,Runden!$E$13="Fund"),1,0)</f>
        <v/>
      </c>
      <c r="K4" s="26">
        <f>IF(AND(Runden!$D$14=1,Runden!$E$14="Fund"),1,0)</f>
        <v/>
      </c>
      <c r="L4" s="26">
        <f>IF(AND(Runden!$D$15=1,Runden!$E$15="Fund"),1,0)</f>
        <v/>
      </c>
      <c r="M4" s="26">
        <f>IF(AND(Runden!$D$16=1,Runden!$E$16="Fund"),1,0)</f>
        <v/>
      </c>
      <c r="N4" s="26">
        <f>IF(AND(Runden!$D$17=1,Runden!$E$17="Fund"),1,0)</f>
        <v/>
      </c>
      <c r="O4" s="26">
        <f>IF(AND(Runden!$D$18=1,Runden!$E$18="Fund"),1,0)</f>
        <v/>
      </c>
      <c r="P4" s="26">
        <f>IF(AND(Runden!$D$19=1,Runden!$E$19="Fund"),1,0)</f>
        <v/>
      </c>
      <c r="Q4" s="26">
        <f>IF(AND(Runden!$D$20=1,Runden!$E$20="Fund"),1,0)</f>
        <v/>
      </c>
    </row>
    <row r="5">
      <c r="A5" s="21" t="inlineStr">
        <is>
          <t>Fund-Nummer</t>
        </is>
      </c>
      <c r="B5" s="27">
        <f>IF(B4=1,SUM($B$4:B4),0)</f>
        <v/>
      </c>
      <c r="C5" s="27">
        <f>IF(C4=1,SUM($B$4:C4),0)</f>
        <v/>
      </c>
      <c r="D5" s="27">
        <f>IF(D4=1,SUM($B$4:D4),0)</f>
        <v/>
      </c>
      <c r="E5" s="27">
        <f>IF(E4=1,SUM($B$4:E4),0)</f>
        <v/>
      </c>
      <c r="F5" s="27">
        <f>IF(F4=1,SUM($B$4:F4),0)</f>
        <v/>
      </c>
      <c r="G5" s="27">
        <f>IF(G4=1,SUM($B$4:G4),0)</f>
        <v/>
      </c>
      <c r="H5" s="27">
        <f>IF(H4=1,SUM($B$4:H4),0)</f>
        <v/>
      </c>
      <c r="I5" s="27">
        <f>IF(I4=1,SUM($B$4:I4),0)</f>
        <v/>
      </c>
      <c r="J5" s="27">
        <f>IF(J4=1,SUM($B$4:J4),0)</f>
        <v/>
      </c>
      <c r="K5" s="27">
        <f>IF(K4=1,SUM($B$4:K4),0)</f>
        <v/>
      </c>
      <c r="L5" s="27">
        <f>IF(L4=1,SUM($B$4:L4),0)</f>
        <v/>
      </c>
      <c r="M5" s="27">
        <f>IF(M4=1,SUM($B$4:M4),0)</f>
        <v/>
      </c>
      <c r="N5" s="27">
        <f>IF(N4=1,SUM($B$4:N4),0)</f>
        <v/>
      </c>
      <c r="O5" s="27">
        <f>IF(O4=1,SUM($B$4:O4),0)</f>
        <v/>
      </c>
      <c r="P5" s="27">
        <f>IF(P4=1,SUM($B$4:P4),0)</f>
        <v/>
      </c>
      <c r="Q5" s="27">
        <f>IF(Q4=1,SUM($B$4:Q4),0)</f>
        <v/>
      </c>
    </row>
    <row r="6">
      <c r="A6" s="21" t="inlineStr">
        <is>
          <t>Silas verdient mit?</t>
        </is>
      </c>
      <c r="B6" s="27">
        <f>IF(AND(B4=1,B5&lt;=Startwerte!$B$11),1,0)</f>
        <v/>
      </c>
      <c r="C6" s="27">
        <f>IF(AND(C4=1,C5&lt;=Startwerte!$B$11),1,0)</f>
        <v/>
      </c>
      <c r="D6" s="27">
        <f>IF(AND(D4=1,D5&lt;=Startwerte!$B$11),1,0)</f>
        <v/>
      </c>
      <c r="E6" s="27">
        <f>IF(AND(E4=1,E5&lt;=Startwerte!$B$11),1,0)</f>
        <v/>
      </c>
      <c r="F6" s="27">
        <f>IF(AND(F4=1,F5&lt;=Startwerte!$B$11),1,0)</f>
        <v/>
      </c>
      <c r="G6" s="27">
        <f>IF(AND(G4=1,G5&lt;=Startwerte!$B$11),1,0)</f>
        <v/>
      </c>
      <c r="H6" s="27">
        <f>IF(AND(H4=1,H5&lt;=Startwerte!$B$11),1,0)</f>
        <v/>
      </c>
      <c r="I6" s="27">
        <f>IF(AND(I4=1,I5&lt;=Startwerte!$B$11),1,0)</f>
        <v/>
      </c>
      <c r="J6" s="27">
        <f>IF(AND(J4=1,J5&lt;=Startwerte!$B$11),1,0)</f>
        <v/>
      </c>
      <c r="K6" s="27">
        <f>IF(AND(K4=1,K5&lt;=Startwerte!$B$11),1,0)</f>
        <v/>
      </c>
      <c r="L6" s="27">
        <f>IF(AND(L4=1,L5&lt;=Startwerte!$B$11),1,0)</f>
        <v/>
      </c>
      <c r="M6" s="27">
        <f>IF(AND(M4=1,M5&lt;=Startwerte!$B$11),1,0)</f>
        <v/>
      </c>
      <c r="N6" s="27">
        <f>IF(AND(N4=1,N5&lt;=Startwerte!$B$11),1,0)</f>
        <v/>
      </c>
      <c r="O6" s="27">
        <f>IF(AND(O4=1,O5&lt;=Startwerte!$B$11),1,0)</f>
        <v/>
      </c>
      <c r="P6" s="27">
        <f>IF(AND(P4=1,P5&lt;=Startwerte!$B$11),1,0)</f>
        <v/>
      </c>
      <c r="Q6" s="27">
        <f>IF(AND(Q4=1,Q5&lt;=Startwerte!$B$11),1,0)</f>
        <v/>
      </c>
    </row>
    <row r="7">
      <c r="A7" s="21" t="inlineStr">
        <is>
          <t>Lagerstätte R₀ (bbl)</t>
        </is>
      </c>
      <c r="B7" s="28">
        <f>IF(B4=1,Runden!$F$5,0)</f>
        <v/>
      </c>
      <c r="C7" s="28">
        <f>IF(C4=1,Runden!$F$6,0)</f>
        <v/>
      </c>
      <c r="D7" s="28">
        <f>IF(D4=1,Runden!$F$7,0)</f>
        <v/>
      </c>
      <c r="E7" s="28">
        <f>IF(E4=1,Runden!$F$8,0)</f>
        <v/>
      </c>
      <c r="F7" s="28">
        <f>IF(F4=1,Runden!$F$9,0)</f>
        <v/>
      </c>
      <c r="G7" s="28">
        <f>IF(G4=1,Runden!$F$10,0)</f>
        <v/>
      </c>
      <c r="H7" s="28">
        <f>IF(H4=1,Runden!$F$11,0)</f>
        <v/>
      </c>
      <c r="I7" s="28">
        <f>IF(I4=1,Runden!$F$12,0)</f>
        <v/>
      </c>
      <c r="J7" s="28">
        <f>IF(J4=1,Runden!$F$13,0)</f>
        <v/>
      </c>
      <c r="K7" s="28">
        <f>IF(K4=1,Runden!$F$14,0)</f>
        <v/>
      </c>
      <c r="L7" s="28">
        <f>IF(L4=1,Runden!$F$15,0)</f>
        <v/>
      </c>
      <c r="M7" s="28">
        <f>IF(M4=1,Runden!$F$16,0)</f>
        <v/>
      </c>
      <c r="N7" s="28">
        <f>IF(N4=1,Runden!$F$17,0)</f>
        <v/>
      </c>
      <c r="O7" s="28">
        <f>IF(O4=1,Runden!$F$18,0)</f>
        <v/>
      </c>
      <c r="P7" s="28">
        <f>IF(P4=1,Runden!$F$19,0)</f>
        <v/>
      </c>
      <c r="Q7" s="28">
        <f>IF(Q4=1,Runden!$F$20,0)</f>
        <v/>
      </c>
    </row>
    <row r="9">
      <c r="A9" s="21" t="inlineStr">
        <is>
          <t>Förderung je Runde (bbl)</t>
        </is>
      </c>
    </row>
    <row r="10">
      <c r="A10" s="21" t="n">
        <v>1</v>
      </c>
      <c r="B10" s="29">
        <f>IF(AND(B$4=1,$A10&gt;B$3,B$7&gt;0),MIN(B30,Startwerte!$B$12*Startwerte!$B$14*(1-Startwerte!$B$13)^($A10-B$3-1)*B30/B$7),0)</f>
        <v/>
      </c>
      <c r="C10" s="29">
        <f>IF(AND(C$4=1,$A10&gt;C$3,C$7&gt;0),MIN(C30,Startwerte!$B$12*Startwerte!$B$14*(1-Startwerte!$B$13)^($A10-C$3-1)*C30/C$7),0)</f>
        <v/>
      </c>
      <c r="D10" s="29">
        <f>IF(AND(D$4=1,$A10&gt;D$3,D$7&gt;0),MIN(D30,Startwerte!$B$12*Startwerte!$B$14*(1-Startwerte!$B$13)^($A10-D$3-1)*D30/D$7),0)</f>
        <v/>
      </c>
      <c r="E10" s="29">
        <f>IF(AND(E$4=1,$A10&gt;E$3,E$7&gt;0),MIN(E30,Startwerte!$B$12*Startwerte!$B$14*(1-Startwerte!$B$13)^($A10-E$3-1)*E30/E$7),0)</f>
        <v/>
      </c>
      <c r="F10" s="29">
        <f>IF(AND(F$4=1,$A10&gt;F$3,F$7&gt;0),MIN(F30,Startwerte!$B$12*Startwerte!$B$14*(1-Startwerte!$B$13)^($A10-F$3-1)*F30/F$7),0)</f>
        <v/>
      </c>
      <c r="G10" s="29">
        <f>IF(AND(G$4=1,$A10&gt;G$3,G$7&gt;0),MIN(G30,Startwerte!$B$12*Startwerte!$B$14*(1-Startwerte!$B$13)^($A10-G$3-1)*G30/G$7),0)</f>
        <v/>
      </c>
      <c r="H10" s="29">
        <f>IF(AND(H$4=1,$A10&gt;H$3,H$7&gt;0),MIN(H30,Startwerte!$B$12*Startwerte!$B$14*(1-Startwerte!$B$13)^($A10-H$3-1)*H30/H$7),0)</f>
        <v/>
      </c>
      <c r="I10" s="29">
        <f>IF(AND(I$4=1,$A10&gt;I$3,I$7&gt;0),MIN(I30,Startwerte!$B$12*Startwerte!$B$14*(1-Startwerte!$B$13)^($A10-I$3-1)*I30/I$7),0)</f>
        <v/>
      </c>
      <c r="J10" s="29">
        <f>IF(AND(J$4=1,$A10&gt;J$3,J$7&gt;0),MIN(J30,Startwerte!$B$12*Startwerte!$B$14*(1-Startwerte!$B$13)^($A10-J$3-1)*J30/J$7),0)</f>
        <v/>
      </c>
      <c r="K10" s="29">
        <f>IF(AND(K$4=1,$A10&gt;K$3,K$7&gt;0),MIN(K30,Startwerte!$B$12*Startwerte!$B$14*(1-Startwerte!$B$13)^($A10-K$3-1)*K30/K$7),0)</f>
        <v/>
      </c>
      <c r="L10" s="29">
        <f>IF(AND(L$4=1,$A10&gt;L$3,L$7&gt;0),MIN(L30,Startwerte!$B$12*Startwerte!$B$14*(1-Startwerte!$B$13)^($A10-L$3-1)*L30/L$7),0)</f>
        <v/>
      </c>
      <c r="M10" s="29">
        <f>IF(AND(M$4=1,$A10&gt;M$3,M$7&gt;0),MIN(M30,Startwerte!$B$12*Startwerte!$B$14*(1-Startwerte!$B$13)^($A10-M$3-1)*M30/M$7),0)</f>
        <v/>
      </c>
      <c r="N10" s="29">
        <f>IF(AND(N$4=1,$A10&gt;N$3,N$7&gt;0),MIN(N30,Startwerte!$B$12*Startwerte!$B$14*(1-Startwerte!$B$13)^($A10-N$3-1)*N30/N$7),0)</f>
        <v/>
      </c>
      <c r="O10" s="29">
        <f>IF(AND(O$4=1,$A10&gt;O$3,O$7&gt;0),MIN(O30,Startwerte!$B$12*Startwerte!$B$14*(1-Startwerte!$B$13)^($A10-O$3-1)*O30/O$7),0)</f>
        <v/>
      </c>
      <c r="P10" s="29">
        <f>IF(AND(P$4=1,$A10&gt;P$3,P$7&gt;0),MIN(P30,Startwerte!$B$12*Startwerte!$B$14*(1-Startwerte!$B$13)^($A10-P$3-1)*P30/P$7),0)</f>
        <v/>
      </c>
      <c r="Q10" s="29">
        <f>IF(AND(Q$4=1,$A10&gt;Q$3,Q$7&gt;0),MIN(Q30,Startwerte!$B$12*Startwerte!$B$14*(1-Startwerte!$B$13)^($A10-Q$3-1)*Q30/Q$7),0)</f>
        <v/>
      </c>
    </row>
    <row r="11">
      <c r="A11" s="21" t="n">
        <v>2</v>
      </c>
      <c r="B11" s="29">
        <f>IF(AND(B$4=1,$A11&gt;B$3,B$7&gt;0),MIN(B31,Startwerte!$B$12*Startwerte!$B$14*(1-Startwerte!$B$13)^($A11-B$3-1)*B31/B$7),0)</f>
        <v/>
      </c>
      <c r="C11" s="29">
        <f>IF(AND(C$4=1,$A11&gt;C$3,C$7&gt;0),MIN(C31,Startwerte!$B$12*Startwerte!$B$14*(1-Startwerte!$B$13)^($A11-C$3-1)*C31/C$7),0)</f>
        <v/>
      </c>
      <c r="D11" s="29">
        <f>IF(AND(D$4=1,$A11&gt;D$3,D$7&gt;0),MIN(D31,Startwerte!$B$12*Startwerte!$B$14*(1-Startwerte!$B$13)^($A11-D$3-1)*D31/D$7),0)</f>
        <v/>
      </c>
      <c r="E11" s="29">
        <f>IF(AND(E$4=1,$A11&gt;E$3,E$7&gt;0),MIN(E31,Startwerte!$B$12*Startwerte!$B$14*(1-Startwerte!$B$13)^($A11-E$3-1)*E31/E$7),0)</f>
        <v/>
      </c>
      <c r="F11" s="29">
        <f>IF(AND(F$4=1,$A11&gt;F$3,F$7&gt;0),MIN(F31,Startwerte!$B$12*Startwerte!$B$14*(1-Startwerte!$B$13)^($A11-F$3-1)*F31/F$7),0)</f>
        <v/>
      </c>
      <c r="G11" s="29">
        <f>IF(AND(G$4=1,$A11&gt;G$3,G$7&gt;0),MIN(G31,Startwerte!$B$12*Startwerte!$B$14*(1-Startwerte!$B$13)^($A11-G$3-1)*G31/G$7),0)</f>
        <v/>
      </c>
      <c r="H11" s="29">
        <f>IF(AND(H$4=1,$A11&gt;H$3,H$7&gt;0),MIN(H31,Startwerte!$B$12*Startwerte!$B$14*(1-Startwerte!$B$13)^($A11-H$3-1)*H31/H$7),0)</f>
        <v/>
      </c>
      <c r="I11" s="29">
        <f>IF(AND(I$4=1,$A11&gt;I$3,I$7&gt;0),MIN(I31,Startwerte!$B$12*Startwerte!$B$14*(1-Startwerte!$B$13)^($A11-I$3-1)*I31/I$7),0)</f>
        <v/>
      </c>
      <c r="J11" s="29">
        <f>IF(AND(J$4=1,$A11&gt;J$3,J$7&gt;0),MIN(J31,Startwerte!$B$12*Startwerte!$B$14*(1-Startwerte!$B$13)^($A11-J$3-1)*J31/J$7),0)</f>
        <v/>
      </c>
      <c r="K11" s="29">
        <f>IF(AND(K$4=1,$A11&gt;K$3,K$7&gt;0),MIN(K31,Startwerte!$B$12*Startwerte!$B$14*(1-Startwerte!$B$13)^($A11-K$3-1)*K31/K$7),0)</f>
        <v/>
      </c>
      <c r="L11" s="29">
        <f>IF(AND(L$4=1,$A11&gt;L$3,L$7&gt;0),MIN(L31,Startwerte!$B$12*Startwerte!$B$14*(1-Startwerte!$B$13)^($A11-L$3-1)*L31/L$7),0)</f>
        <v/>
      </c>
      <c r="M11" s="29">
        <f>IF(AND(M$4=1,$A11&gt;M$3,M$7&gt;0),MIN(M31,Startwerte!$B$12*Startwerte!$B$14*(1-Startwerte!$B$13)^($A11-M$3-1)*M31/M$7),0)</f>
        <v/>
      </c>
      <c r="N11" s="29">
        <f>IF(AND(N$4=1,$A11&gt;N$3,N$7&gt;0),MIN(N31,Startwerte!$B$12*Startwerte!$B$14*(1-Startwerte!$B$13)^($A11-N$3-1)*N31/N$7),0)</f>
        <v/>
      </c>
      <c r="O11" s="29">
        <f>IF(AND(O$4=1,$A11&gt;O$3,O$7&gt;0),MIN(O31,Startwerte!$B$12*Startwerte!$B$14*(1-Startwerte!$B$13)^($A11-O$3-1)*O31/O$7),0)</f>
        <v/>
      </c>
      <c r="P11" s="29">
        <f>IF(AND(P$4=1,$A11&gt;P$3,P$7&gt;0),MIN(P31,Startwerte!$B$12*Startwerte!$B$14*(1-Startwerte!$B$13)^($A11-P$3-1)*P31/P$7),0)</f>
        <v/>
      </c>
      <c r="Q11" s="29">
        <f>IF(AND(Q$4=1,$A11&gt;Q$3,Q$7&gt;0),MIN(Q31,Startwerte!$B$12*Startwerte!$B$14*(1-Startwerte!$B$13)^($A11-Q$3-1)*Q31/Q$7),0)</f>
        <v/>
      </c>
    </row>
    <row r="12">
      <c r="A12" s="21" t="n">
        <v>3</v>
      </c>
      <c r="B12" s="29">
        <f>IF(AND(B$4=1,$A12&gt;B$3,B$7&gt;0),MIN(B32,Startwerte!$B$12*Startwerte!$B$14*(1-Startwerte!$B$13)^($A12-B$3-1)*B32/B$7),0)</f>
        <v/>
      </c>
      <c r="C12" s="29">
        <f>IF(AND(C$4=1,$A12&gt;C$3,C$7&gt;0),MIN(C32,Startwerte!$B$12*Startwerte!$B$14*(1-Startwerte!$B$13)^($A12-C$3-1)*C32/C$7),0)</f>
        <v/>
      </c>
      <c r="D12" s="29">
        <f>IF(AND(D$4=1,$A12&gt;D$3,D$7&gt;0),MIN(D32,Startwerte!$B$12*Startwerte!$B$14*(1-Startwerte!$B$13)^($A12-D$3-1)*D32/D$7),0)</f>
        <v/>
      </c>
      <c r="E12" s="29">
        <f>IF(AND(E$4=1,$A12&gt;E$3,E$7&gt;0),MIN(E32,Startwerte!$B$12*Startwerte!$B$14*(1-Startwerte!$B$13)^($A12-E$3-1)*E32/E$7),0)</f>
        <v/>
      </c>
      <c r="F12" s="29">
        <f>IF(AND(F$4=1,$A12&gt;F$3,F$7&gt;0),MIN(F32,Startwerte!$B$12*Startwerte!$B$14*(1-Startwerte!$B$13)^($A12-F$3-1)*F32/F$7),0)</f>
        <v/>
      </c>
      <c r="G12" s="29">
        <f>IF(AND(G$4=1,$A12&gt;G$3,G$7&gt;0),MIN(G32,Startwerte!$B$12*Startwerte!$B$14*(1-Startwerte!$B$13)^($A12-G$3-1)*G32/G$7),0)</f>
        <v/>
      </c>
      <c r="H12" s="29">
        <f>IF(AND(H$4=1,$A12&gt;H$3,H$7&gt;0),MIN(H32,Startwerte!$B$12*Startwerte!$B$14*(1-Startwerte!$B$13)^($A12-H$3-1)*H32/H$7),0)</f>
        <v/>
      </c>
      <c r="I12" s="29">
        <f>IF(AND(I$4=1,$A12&gt;I$3,I$7&gt;0),MIN(I32,Startwerte!$B$12*Startwerte!$B$14*(1-Startwerte!$B$13)^($A12-I$3-1)*I32/I$7),0)</f>
        <v/>
      </c>
      <c r="J12" s="29">
        <f>IF(AND(J$4=1,$A12&gt;J$3,J$7&gt;0),MIN(J32,Startwerte!$B$12*Startwerte!$B$14*(1-Startwerte!$B$13)^($A12-J$3-1)*J32/J$7),0)</f>
        <v/>
      </c>
      <c r="K12" s="29">
        <f>IF(AND(K$4=1,$A12&gt;K$3,K$7&gt;0),MIN(K32,Startwerte!$B$12*Startwerte!$B$14*(1-Startwerte!$B$13)^($A12-K$3-1)*K32/K$7),0)</f>
        <v/>
      </c>
      <c r="L12" s="29">
        <f>IF(AND(L$4=1,$A12&gt;L$3,L$7&gt;0),MIN(L32,Startwerte!$B$12*Startwerte!$B$14*(1-Startwerte!$B$13)^($A12-L$3-1)*L32/L$7),0)</f>
        <v/>
      </c>
      <c r="M12" s="29">
        <f>IF(AND(M$4=1,$A12&gt;M$3,M$7&gt;0),MIN(M32,Startwerte!$B$12*Startwerte!$B$14*(1-Startwerte!$B$13)^($A12-M$3-1)*M32/M$7),0)</f>
        <v/>
      </c>
      <c r="N12" s="29">
        <f>IF(AND(N$4=1,$A12&gt;N$3,N$7&gt;0),MIN(N32,Startwerte!$B$12*Startwerte!$B$14*(1-Startwerte!$B$13)^($A12-N$3-1)*N32/N$7),0)</f>
        <v/>
      </c>
      <c r="O12" s="29">
        <f>IF(AND(O$4=1,$A12&gt;O$3,O$7&gt;0),MIN(O32,Startwerte!$B$12*Startwerte!$B$14*(1-Startwerte!$B$13)^($A12-O$3-1)*O32/O$7),0)</f>
        <v/>
      </c>
      <c r="P12" s="29">
        <f>IF(AND(P$4=1,$A12&gt;P$3,P$7&gt;0),MIN(P32,Startwerte!$B$12*Startwerte!$B$14*(1-Startwerte!$B$13)^($A12-P$3-1)*P32/P$7),0)</f>
        <v/>
      </c>
      <c r="Q12" s="29">
        <f>IF(AND(Q$4=1,$A12&gt;Q$3,Q$7&gt;0),MIN(Q32,Startwerte!$B$12*Startwerte!$B$14*(1-Startwerte!$B$13)^($A12-Q$3-1)*Q32/Q$7),0)</f>
        <v/>
      </c>
    </row>
    <row r="13">
      <c r="A13" s="21" t="n">
        <v>4</v>
      </c>
      <c r="B13" s="29">
        <f>IF(AND(B$4=1,$A13&gt;B$3,B$7&gt;0),MIN(B33,Startwerte!$B$12*Startwerte!$B$14*(1-Startwerte!$B$13)^($A13-B$3-1)*B33/B$7),0)</f>
        <v/>
      </c>
      <c r="C13" s="29">
        <f>IF(AND(C$4=1,$A13&gt;C$3,C$7&gt;0),MIN(C33,Startwerte!$B$12*Startwerte!$B$14*(1-Startwerte!$B$13)^($A13-C$3-1)*C33/C$7),0)</f>
        <v/>
      </c>
      <c r="D13" s="29">
        <f>IF(AND(D$4=1,$A13&gt;D$3,D$7&gt;0),MIN(D33,Startwerte!$B$12*Startwerte!$B$14*(1-Startwerte!$B$13)^($A13-D$3-1)*D33/D$7),0)</f>
        <v/>
      </c>
      <c r="E13" s="29">
        <f>IF(AND(E$4=1,$A13&gt;E$3,E$7&gt;0),MIN(E33,Startwerte!$B$12*Startwerte!$B$14*(1-Startwerte!$B$13)^($A13-E$3-1)*E33/E$7),0)</f>
        <v/>
      </c>
      <c r="F13" s="29">
        <f>IF(AND(F$4=1,$A13&gt;F$3,F$7&gt;0),MIN(F33,Startwerte!$B$12*Startwerte!$B$14*(1-Startwerte!$B$13)^($A13-F$3-1)*F33/F$7),0)</f>
        <v/>
      </c>
      <c r="G13" s="29">
        <f>IF(AND(G$4=1,$A13&gt;G$3,G$7&gt;0),MIN(G33,Startwerte!$B$12*Startwerte!$B$14*(1-Startwerte!$B$13)^($A13-G$3-1)*G33/G$7),0)</f>
        <v/>
      </c>
      <c r="H13" s="29">
        <f>IF(AND(H$4=1,$A13&gt;H$3,H$7&gt;0),MIN(H33,Startwerte!$B$12*Startwerte!$B$14*(1-Startwerte!$B$13)^($A13-H$3-1)*H33/H$7),0)</f>
        <v/>
      </c>
      <c r="I13" s="29">
        <f>IF(AND(I$4=1,$A13&gt;I$3,I$7&gt;0),MIN(I33,Startwerte!$B$12*Startwerte!$B$14*(1-Startwerte!$B$13)^($A13-I$3-1)*I33/I$7),0)</f>
        <v/>
      </c>
      <c r="J13" s="29">
        <f>IF(AND(J$4=1,$A13&gt;J$3,J$7&gt;0),MIN(J33,Startwerte!$B$12*Startwerte!$B$14*(1-Startwerte!$B$13)^($A13-J$3-1)*J33/J$7),0)</f>
        <v/>
      </c>
      <c r="K13" s="29">
        <f>IF(AND(K$4=1,$A13&gt;K$3,K$7&gt;0),MIN(K33,Startwerte!$B$12*Startwerte!$B$14*(1-Startwerte!$B$13)^($A13-K$3-1)*K33/K$7),0)</f>
        <v/>
      </c>
      <c r="L13" s="29">
        <f>IF(AND(L$4=1,$A13&gt;L$3,L$7&gt;0),MIN(L33,Startwerte!$B$12*Startwerte!$B$14*(1-Startwerte!$B$13)^($A13-L$3-1)*L33/L$7),0)</f>
        <v/>
      </c>
      <c r="M13" s="29">
        <f>IF(AND(M$4=1,$A13&gt;M$3,M$7&gt;0),MIN(M33,Startwerte!$B$12*Startwerte!$B$14*(1-Startwerte!$B$13)^($A13-M$3-1)*M33/M$7),0)</f>
        <v/>
      </c>
      <c r="N13" s="29">
        <f>IF(AND(N$4=1,$A13&gt;N$3,N$7&gt;0),MIN(N33,Startwerte!$B$12*Startwerte!$B$14*(1-Startwerte!$B$13)^($A13-N$3-1)*N33/N$7),0)</f>
        <v/>
      </c>
      <c r="O13" s="29">
        <f>IF(AND(O$4=1,$A13&gt;O$3,O$7&gt;0),MIN(O33,Startwerte!$B$12*Startwerte!$B$14*(1-Startwerte!$B$13)^($A13-O$3-1)*O33/O$7),0)</f>
        <v/>
      </c>
      <c r="P13" s="29">
        <f>IF(AND(P$4=1,$A13&gt;P$3,P$7&gt;0),MIN(P33,Startwerte!$B$12*Startwerte!$B$14*(1-Startwerte!$B$13)^($A13-P$3-1)*P33/P$7),0)</f>
        <v/>
      </c>
      <c r="Q13" s="29">
        <f>IF(AND(Q$4=1,$A13&gt;Q$3,Q$7&gt;0),MIN(Q33,Startwerte!$B$12*Startwerte!$B$14*(1-Startwerte!$B$13)^($A13-Q$3-1)*Q33/Q$7),0)</f>
        <v/>
      </c>
    </row>
    <row r="14">
      <c r="A14" s="21" t="n">
        <v>5</v>
      </c>
      <c r="B14" s="29">
        <f>IF(AND(B$4=1,$A14&gt;B$3,B$7&gt;0),MIN(B34,Startwerte!$B$12*Startwerte!$B$14*(1-Startwerte!$B$13)^($A14-B$3-1)*B34/B$7),0)</f>
        <v/>
      </c>
      <c r="C14" s="29">
        <f>IF(AND(C$4=1,$A14&gt;C$3,C$7&gt;0),MIN(C34,Startwerte!$B$12*Startwerte!$B$14*(1-Startwerte!$B$13)^($A14-C$3-1)*C34/C$7),0)</f>
        <v/>
      </c>
      <c r="D14" s="29">
        <f>IF(AND(D$4=1,$A14&gt;D$3,D$7&gt;0),MIN(D34,Startwerte!$B$12*Startwerte!$B$14*(1-Startwerte!$B$13)^($A14-D$3-1)*D34/D$7),0)</f>
        <v/>
      </c>
      <c r="E14" s="29">
        <f>IF(AND(E$4=1,$A14&gt;E$3,E$7&gt;0),MIN(E34,Startwerte!$B$12*Startwerte!$B$14*(1-Startwerte!$B$13)^($A14-E$3-1)*E34/E$7),0)</f>
        <v/>
      </c>
      <c r="F14" s="29">
        <f>IF(AND(F$4=1,$A14&gt;F$3,F$7&gt;0),MIN(F34,Startwerte!$B$12*Startwerte!$B$14*(1-Startwerte!$B$13)^($A14-F$3-1)*F34/F$7),0)</f>
        <v/>
      </c>
      <c r="G14" s="29">
        <f>IF(AND(G$4=1,$A14&gt;G$3,G$7&gt;0),MIN(G34,Startwerte!$B$12*Startwerte!$B$14*(1-Startwerte!$B$13)^($A14-G$3-1)*G34/G$7),0)</f>
        <v/>
      </c>
      <c r="H14" s="29">
        <f>IF(AND(H$4=1,$A14&gt;H$3,H$7&gt;0),MIN(H34,Startwerte!$B$12*Startwerte!$B$14*(1-Startwerte!$B$13)^($A14-H$3-1)*H34/H$7),0)</f>
        <v/>
      </c>
      <c r="I14" s="29">
        <f>IF(AND(I$4=1,$A14&gt;I$3,I$7&gt;0),MIN(I34,Startwerte!$B$12*Startwerte!$B$14*(1-Startwerte!$B$13)^($A14-I$3-1)*I34/I$7),0)</f>
        <v/>
      </c>
      <c r="J14" s="29">
        <f>IF(AND(J$4=1,$A14&gt;J$3,J$7&gt;0),MIN(J34,Startwerte!$B$12*Startwerte!$B$14*(1-Startwerte!$B$13)^($A14-J$3-1)*J34/J$7),0)</f>
        <v/>
      </c>
      <c r="K14" s="29">
        <f>IF(AND(K$4=1,$A14&gt;K$3,K$7&gt;0),MIN(K34,Startwerte!$B$12*Startwerte!$B$14*(1-Startwerte!$B$13)^($A14-K$3-1)*K34/K$7),0)</f>
        <v/>
      </c>
      <c r="L14" s="29">
        <f>IF(AND(L$4=1,$A14&gt;L$3,L$7&gt;0),MIN(L34,Startwerte!$B$12*Startwerte!$B$14*(1-Startwerte!$B$13)^($A14-L$3-1)*L34/L$7),0)</f>
        <v/>
      </c>
      <c r="M14" s="29">
        <f>IF(AND(M$4=1,$A14&gt;M$3,M$7&gt;0),MIN(M34,Startwerte!$B$12*Startwerte!$B$14*(1-Startwerte!$B$13)^($A14-M$3-1)*M34/M$7),0)</f>
        <v/>
      </c>
      <c r="N14" s="29">
        <f>IF(AND(N$4=1,$A14&gt;N$3,N$7&gt;0),MIN(N34,Startwerte!$B$12*Startwerte!$B$14*(1-Startwerte!$B$13)^($A14-N$3-1)*N34/N$7),0)</f>
        <v/>
      </c>
      <c r="O14" s="29">
        <f>IF(AND(O$4=1,$A14&gt;O$3,O$7&gt;0),MIN(O34,Startwerte!$B$12*Startwerte!$B$14*(1-Startwerte!$B$13)^($A14-O$3-1)*O34/O$7),0)</f>
        <v/>
      </c>
      <c r="P14" s="29">
        <f>IF(AND(P$4=1,$A14&gt;P$3,P$7&gt;0),MIN(P34,Startwerte!$B$12*Startwerte!$B$14*(1-Startwerte!$B$13)^($A14-P$3-1)*P34/P$7),0)</f>
        <v/>
      </c>
      <c r="Q14" s="29">
        <f>IF(AND(Q$4=1,$A14&gt;Q$3,Q$7&gt;0),MIN(Q34,Startwerte!$B$12*Startwerte!$B$14*(1-Startwerte!$B$13)^($A14-Q$3-1)*Q34/Q$7),0)</f>
        <v/>
      </c>
    </row>
    <row r="15">
      <c r="A15" s="21" t="n">
        <v>6</v>
      </c>
      <c r="B15" s="29">
        <f>IF(AND(B$4=1,$A15&gt;B$3,B$7&gt;0),MIN(B35,Startwerte!$B$12*Startwerte!$B$14*(1-Startwerte!$B$13)^($A15-B$3-1)*B35/B$7),0)</f>
        <v/>
      </c>
      <c r="C15" s="29">
        <f>IF(AND(C$4=1,$A15&gt;C$3,C$7&gt;0),MIN(C35,Startwerte!$B$12*Startwerte!$B$14*(1-Startwerte!$B$13)^($A15-C$3-1)*C35/C$7),0)</f>
        <v/>
      </c>
      <c r="D15" s="29">
        <f>IF(AND(D$4=1,$A15&gt;D$3,D$7&gt;0),MIN(D35,Startwerte!$B$12*Startwerte!$B$14*(1-Startwerte!$B$13)^($A15-D$3-1)*D35/D$7),0)</f>
        <v/>
      </c>
      <c r="E15" s="29">
        <f>IF(AND(E$4=1,$A15&gt;E$3,E$7&gt;0),MIN(E35,Startwerte!$B$12*Startwerte!$B$14*(1-Startwerte!$B$13)^($A15-E$3-1)*E35/E$7),0)</f>
        <v/>
      </c>
      <c r="F15" s="29">
        <f>IF(AND(F$4=1,$A15&gt;F$3,F$7&gt;0),MIN(F35,Startwerte!$B$12*Startwerte!$B$14*(1-Startwerte!$B$13)^($A15-F$3-1)*F35/F$7),0)</f>
        <v/>
      </c>
      <c r="G15" s="29">
        <f>IF(AND(G$4=1,$A15&gt;G$3,G$7&gt;0),MIN(G35,Startwerte!$B$12*Startwerte!$B$14*(1-Startwerte!$B$13)^($A15-G$3-1)*G35/G$7),0)</f>
        <v/>
      </c>
      <c r="H15" s="29">
        <f>IF(AND(H$4=1,$A15&gt;H$3,H$7&gt;0),MIN(H35,Startwerte!$B$12*Startwerte!$B$14*(1-Startwerte!$B$13)^($A15-H$3-1)*H35/H$7),0)</f>
        <v/>
      </c>
      <c r="I15" s="29">
        <f>IF(AND(I$4=1,$A15&gt;I$3,I$7&gt;0),MIN(I35,Startwerte!$B$12*Startwerte!$B$14*(1-Startwerte!$B$13)^($A15-I$3-1)*I35/I$7),0)</f>
        <v/>
      </c>
      <c r="J15" s="29">
        <f>IF(AND(J$4=1,$A15&gt;J$3,J$7&gt;0),MIN(J35,Startwerte!$B$12*Startwerte!$B$14*(1-Startwerte!$B$13)^($A15-J$3-1)*J35/J$7),0)</f>
        <v/>
      </c>
      <c r="K15" s="29">
        <f>IF(AND(K$4=1,$A15&gt;K$3,K$7&gt;0),MIN(K35,Startwerte!$B$12*Startwerte!$B$14*(1-Startwerte!$B$13)^($A15-K$3-1)*K35/K$7),0)</f>
        <v/>
      </c>
      <c r="L15" s="29">
        <f>IF(AND(L$4=1,$A15&gt;L$3,L$7&gt;0),MIN(L35,Startwerte!$B$12*Startwerte!$B$14*(1-Startwerte!$B$13)^($A15-L$3-1)*L35/L$7),0)</f>
        <v/>
      </c>
      <c r="M15" s="29">
        <f>IF(AND(M$4=1,$A15&gt;M$3,M$7&gt;0),MIN(M35,Startwerte!$B$12*Startwerte!$B$14*(1-Startwerte!$B$13)^($A15-M$3-1)*M35/M$7),0)</f>
        <v/>
      </c>
      <c r="N15" s="29">
        <f>IF(AND(N$4=1,$A15&gt;N$3,N$7&gt;0),MIN(N35,Startwerte!$B$12*Startwerte!$B$14*(1-Startwerte!$B$13)^($A15-N$3-1)*N35/N$7),0)</f>
        <v/>
      </c>
      <c r="O15" s="29">
        <f>IF(AND(O$4=1,$A15&gt;O$3,O$7&gt;0),MIN(O35,Startwerte!$B$12*Startwerte!$B$14*(1-Startwerte!$B$13)^($A15-O$3-1)*O35/O$7),0)</f>
        <v/>
      </c>
      <c r="P15" s="29">
        <f>IF(AND(P$4=1,$A15&gt;P$3,P$7&gt;0),MIN(P35,Startwerte!$B$12*Startwerte!$B$14*(1-Startwerte!$B$13)^($A15-P$3-1)*P35/P$7),0)</f>
        <v/>
      </c>
      <c r="Q15" s="29">
        <f>IF(AND(Q$4=1,$A15&gt;Q$3,Q$7&gt;0),MIN(Q35,Startwerte!$B$12*Startwerte!$B$14*(1-Startwerte!$B$13)^($A15-Q$3-1)*Q35/Q$7),0)</f>
        <v/>
      </c>
    </row>
    <row r="16">
      <c r="A16" s="21" t="n">
        <v>7</v>
      </c>
      <c r="B16" s="29">
        <f>IF(AND(B$4=1,$A16&gt;B$3,B$7&gt;0),MIN(B36,Startwerte!$B$12*Startwerte!$B$14*(1-Startwerte!$B$13)^($A16-B$3-1)*B36/B$7),0)</f>
        <v/>
      </c>
      <c r="C16" s="29">
        <f>IF(AND(C$4=1,$A16&gt;C$3,C$7&gt;0),MIN(C36,Startwerte!$B$12*Startwerte!$B$14*(1-Startwerte!$B$13)^($A16-C$3-1)*C36/C$7),0)</f>
        <v/>
      </c>
      <c r="D16" s="29">
        <f>IF(AND(D$4=1,$A16&gt;D$3,D$7&gt;0),MIN(D36,Startwerte!$B$12*Startwerte!$B$14*(1-Startwerte!$B$13)^($A16-D$3-1)*D36/D$7),0)</f>
        <v/>
      </c>
      <c r="E16" s="29">
        <f>IF(AND(E$4=1,$A16&gt;E$3,E$7&gt;0),MIN(E36,Startwerte!$B$12*Startwerte!$B$14*(1-Startwerte!$B$13)^($A16-E$3-1)*E36/E$7),0)</f>
        <v/>
      </c>
      <c r="F16" s="29">
        <f>IF(AND(F$4=1,$A16&gt;F$3,F$7&gt;0),MIN(F36,Startwerte!$B$12*Startwerte!$B$14*(1-Startwerte!$B$13)^($A16-F$3-1)*F36/F$7),0)</f>
        <v/>
      </c>
      <c r="G16" s="29">
        <f>IF(AND(G$4=1,$A16&gt;G$3,G$7&gt;0),MIN(G36,Startwerte!$B$12*Startwerte!$B$14*(1-Startwerte!$B$13)^($A16-G$3-1)*G36/G$7),0)</f>
        <v/>
      </c>
      <c r="H16" s="29">
        <f>IF(AND(H$4=1,$A16&gt;H$3,H$7&gt;0),MIN(H36,Startwerte!$B$12*Startwerte!$B$14*(1-Startwerte!$B$13)^($A16-H$3-1)*H36/H$7),0)</f>
        <v/>
      </c>
      <c r="I16" s="29">
        <f>IF(AND(I$4=1,$A16&gt;I$3,I$7&gt;0),MIN(I36,Startwerte!$B$12*Startwerte!$B$14*(1-Startwerte!$B$13)^($A16-I$3-1)*I36/I$7),0)</f>
        <v/>
      </c>
      <c r="J16" s="29">
        <f>IF(AND(J$4=1,$A16&gt;J$3,J$7&gt;0),MIN(J36,Startwerte!$B$12*Startwerte!$B$14*(1-Startwerte!$B$13)^($A16-J$3-1)*J36/J$7),0)</f>
        <v/>
      </c>
      <c r="K16" s="29">
        <f>IF(AND(K$4=1,$A16&gt;K$3,K$7&gt;0),MIN(K36,Startwerte!$B$12*Startwerte!$B$14*(1-Startwerte!$B$13)^($A16-K$3-1)*K36/K$7),0)</f>
        <v/>
      </c>
      <c r="L16" s="29">
        <f>IF(AND(L$4=1,$A16&gt;L$3,L$7&gt;0),MIN(L36,Startwerte!$B$12*Startwerte!$B$14*(1-Startwerte!$B$13)^($A16-L$3-1)*L36/L$7),0)</f>
        <v/>
      </c>
      <c r="M16" s="29">
        <f>IF(AND(M$4=1,$A16&gt;M$3,M$7&gt;0),MIN(M36,Startwerte!$B$12*Startwerte!$B$14*(1-Startwerte!$B$13)^($A16-M$3-1)*M36/M$7),0)</f>
        <v/>
      </c>
      <c r="N16" s="29">
        <f>IF(AND(N$4=1,$A16&gt;N$3,N$7&gt;0),MIN(N36,Startwerte!$B$12*Startwerte!$B$14*(1-Startwerte!$B$13)^($A16-N$3-1)*N36/N$7),0)</f>
        <v/>
      </c>
      <c r="O16" s="29">
        <f>IF(AND(O$4=1,$A16&gt;O$3,O$7&gt;0),MIN(O36,Startwerte!$B$12*Startwerte!$B$14*(1-Startwerte!$B$13)^($A16-O$3-1)*O36/O$7),0)</f>
        <v/>
      </c>
      <c r="P16" s="29">
        <f>IF(AND(P$4=1,$A16&gt;P$3,P$7&gt;0),MIN(P36,Startwerte!$B$12*Startwerte!$B$14*(1-Startwerte!$B$13)^($A16-P$3-1)*P36/P$7),0)</f>
        <v/>
      </c>
      <c r="Q16" s="29">
        <f>IF(AND(Q$4=1,$A16&gt;Q$3,Q$7&gt;0),MIN(Q36,Startwerte!$B$12*Startwerte!$B$14*(1-Startwerte!$B$13)^($A16-Q$3-1)*Q36/Q$7),0)</f>
        <v/>
      </c>
    </row>
    <row r="17">
      <c r="A17" s="21" t="n">
        <v>8</v>
      </c>
      <c r="B17" s="29">
        <f>IF(AND(B$4=1,$A17&gt;B$3,B$7&gt;0),MIN(B37,Startwerte!$B$12*Startwerte!$B$14*(1-Startwerte!$B$13)^($A17-B$3-1)*B37/B$7),0)</f>
        <v/>
      </c>
      <c r="C17" s="29">
        <f>IF(AND(C$4=1,$A17&gt;C$3,C$7&gt;0),MIN(C37,Startwerte!$B$12*Startwerte!$B$14*(1-Startwerte!$B$13)^($A17-C$3-1)*C37/C$7),0)</f>
        <v/>
      </c>
      <c r="D17" s="29">
        <f>IF(AND(D$4=1,$A17&gt;D$3,D$7&gt;0),MIN(D37,Startwerte!$B$12*Startwerte!$B$14*(1-Startwerte!$B$13)^($A17-D$3-1)*D37/D$7),0)</f>
        <v/>
      </c>
      <c r="E17" s="29">
        <f>IF(AND(E$4=1,$A17&gt;E$3,E$7&gt;0),MIN(E37,Startwerte!$B$12*Startwerte!$B$14*(1-Startwerte!$B$13)^($A17-E$3-1)*E37/E$7),0)</f>
        <v/>
      </c>
      <c r="F17" s="29">
        <f>IF(AND(F$4=1,$A17&gt;F$3,F$7&gt;0),MIN(F37,Startwerte!$B$12*Startwerte!$B$14*(1-Startwerte!$B$13)^($A17-F$3-1)*F37/F$7),0)</f>
        <v/>
      </c>
      <c r="G17" s="29">
        <f>IF(AND(G$4=1,$A17&gt;G$3,G$7&gt;0),MIN(G37,Startwerte!$B$12*Startwerte!$B$14*(1-Startwerte!$B$13)^($A17-G$3-1)*G37/G$7),0)</f>
        <v/>
      </c>
      <c r="H17" s="29">
        <f>IF(AND(H$4=1,$A17&gt;H$3,H$7&gt;0),MIN(H37,Startwerte!$B$12*Startwerte!$B$14*(1-Startwerte!$B$13)^($A17-H$3-1)*H37/H$7),0)</f>
        <v/>
      </c>
      <c r="I17" s="29">
        <f>IF(AND(I$4=1,$A17&gt;I$3,I$7&gt;0),MIN(I37,Startwerte!$B$12*Startwerte!$B$14*(1-Startwerte!$B$13)^($A17-I$3-1)*I37/I$7),0)</f>
        <v/>
      </c>
      <c r="J17" s="29">
        <f>IF(AND(J$4=1,$A17&gt;J$3,J$7&gt;0),MIN(J37,Startwerte!$B$12*Startwerte!$B$14*(1-Startwerte!$B$13)^($A17-J$3-1)*J37/J$7),0)</f>
        <v/>
      </c>
      <c r="K17" s="29">
        <f>IF(AND(K$4=1,$A17&gt;K$3,K$7&gt;0),MIN(K37,Startwerte!$B$12*Startwerte!$B$14*(1-Startwerte!$B$13)^($A17-K$3-1)*K37/K$7),0)</f>
        <v/>
      </c>
      <c r="L17" s="29">
        <f>IF(AND(L$4=1,$A17&gt;L$3,L$7&gt;0),MIN(L37,Startwerte!$B$12*Startwerte!$B$14*(1-Startwerte!$B$13)^($A17-L$3-1)*L37/L$7),0)</f>
        <v/>
      </c>
      <c r="M17" s="29">
        <f>IF(AND(M$4=1,$A17&gt;M$3,M$7&gt;0),MIN(M37,Startwerte!$B$12*Startwerte!$B$14*(1-Startwerte!$B$13)^($A17-M$3-1)*M37/M$7),0)</f>
        <v/>
      </c>
      <c r="N17" s="29">
        <f>IF(AND(N$4=1,$A17&gt;N$3,N$7&gt;0),MIN(N37,Startwerte!$B$12*Startwerte!$B$14*(1-Startwerte!$B$13)^($A17-N$3-1)*N37/N$7),0)</f>
        <v/>
      </c>
      <c r="O17" s="29">
        <f>IF(AND(O$4=1,$A17&gt;O$3,O$7&gt;0),MIN(O37,Startwerte!$B$12*Startwerte!$B$14*(1-Startwerte!$B$13)^($A17-O$3-1)*O37/O$7),0)</f>
        <v/>
      </c>
      <c r="P17" s="29">
        <f>IF(AND(P$4=1,$A17&gt;P$3,P$7&gt;0),MIN(P37,Startwerte!$B$12*Startwerte!$B$14*(1-Startwerte!$B$13)^($A17-P$3-1)*P37/P$7),0)</f>
        <v/>
      </c>
      <c r="Q17" s="29">
        <f>IF(AND(Q$4=1,$A17&gt;Q$3,Q$7&gt;0),MIN(Q37,Startwerte!$B$12*Startwerte!$B$14*(1-Startwerte!$B$13)^($A17-Q$3-1)*Q37/Q$7),0)</f>
        <v/>
      </c>
    </row>
    <row r="18">
      <c r="A18" s="21" t="n">
        <v>9</v>
      </c>
      <c r="B18" s="29">
        <f>IF(AND(B$4=1,$A18&gt;B$3,B$7&gt;0),MIN(B38,Startwerte!$B$12*Startwerte!$B$14*(1-Startwerte!$B$13)^($A18-B$3-1)*B38/B$7),0)</f>
        <v/>
      </c>
      <c r="C18" s="29">
        <f>IF(AND(C$4=1,$A18&gt;C$3,C$7&gt;0),MIN(C38,Startwerte!$B$12*Startwerte!$B$14*(1-Startwerte!$B$13)^($A18-C$3-1)*C38/C$7),0)</f>
        <v/>
      </c>
      <c r="D18" s="29">
        <f>IF(AND(D$4=1,$A18&gt;D$3,D$7&gt;0),MIN(D38,Startwerte!$B$12*Startwerte!$B$14*(1-Startwerte!$B$13)^($A18-D$3-1)*D38/D$7),0)</f>
        <v/>
      </c>
      <c r="E18" s="29">
        <f>IF(AND(E$4=1,$A18&gt;E$3,E$7&gt;0),MIN(E38,Startwerte!$B$12*Startwerte!$B$14*(1-Startwerte!$B$13)^($A18-E$3-1)*E38/E$7),0)</f>
        <v/>
      </c>
      <c r="F18" s="29">
        <f>IF(AND(F$4=1,$A18&gt;F$3,F$7&gt;0),MIN(F38,Startwerte!$B$12*Startwerte!$B$14*(1-Startwerte!$B$13)^($A18-F$3-1)*F38/F$7),0)</f>
        <v/>
      </c>
      <c r="G18" s="29">
        <f>IF(AND(G$4=1,$A18&gt;G$3,G$7&gt;0),MIN(G38,Startwerte!$B$12*Startwerte!$B$14*(1-Startwerte!$B$13)^($A18-G$3-1)*G38/G$7),0)</f>
        <v/>
      </c>
      <c r="H18" s="29">
        <f>IF(AND(H$4=1,$A18&gt;H$3,H$7&gt;0),MIN(H38,Startwerte!$B$12*Startwerte!$B$14*(1-Startwerte!$B$13)^($A18-H$3-1)*H38/H$7),0)</f>
        <v/>
      </c>
      <c r="I18" s="29">
        <f>IF(AND(I$4=1,$A18&gt;I$3,I$7&gt;0),MIN(I38,Startwerte!$B$12*Startwerte!$B$14*(1-Startwerte!$B$13)^($A18-I$3-1)*I38/I$7),0)</f>
        <v/>
      </c>
      <c r="J18" s="29">
        <f>IF(AND(J$4=1,$A18&gt;J$3,J$7&gt;0),MIN(J38,Startwerte!$B$12*Startwerte!$B$14*(1-Startwerte!$B$13)^($A18-J$3-1)*J38/J$7),0)</f>
        <v/>
      </c>
      <c r="K18" s="29">
        <f>IF(AND(K$4=1,$A18&gt;K$3,K$7&gt;0),MIN(K38,Startwerte!$B$12*Startwerte!$B$14*(1-Startwerte!$B$13)^($A18-K$3-1)*K38/K$7),0)</f>
        <v/>
      </c>
      <c r="L18" s="29">
        <f>IF(AND(L$4=1,$A18&gt;L$3,L$7&gt;0),MIN(L38,Startwerte!$B$12*Startwerte!$B$14*(1-Startwerte!$B$13)^($A18-L$3-1)*L38/L$7),0)</f>
        <v/>
      </c>
      <c r="M18" s="29">
        <f>IF(AND(M$4=1,$A18&gt;M$3,M$7&gt;0),MIN(M38,Startwerte!$B$12*Startwerte!$B$14*(1-Startwerte!$B$13)^($A18-M$3-1)*M38/M$7),0)</f>
        <v/>
      </c>
      <c r="N18" s="29">
        <f>IF(AND(N$4=1,$A18&gt;N$3,N$7&gt;0),MIN(N38,Startwerte!$B$12*Startwerte!$B$14*(1-Startwerte!$B$13)^($A18-N$3-1)*N38/N$7),0)</f>
        <v/>
      </c>
      <c r="O18" s="29">
        <f>IF(AND(O$4=1,$A18&gt;O$3,O$7&gt;0),MIN(O38,Startwerte!$B$12*Startwerte!$B$14*(1-Startwerte!$B$13)^($A18-O$3-1)*O38/O$7),0)</f>
        <v/>
      </c>
      <c r="P18" s="29">
        <f>IF(AND(P$4=1,$A18&gt;P$3,P$7&gt;0),MIN(P38,Startwerte!$B$12*Startwerte!$B$14*(1-Startwerte!$B$13)^($A18-P$3-1)*P38/P$7),0)</f>
        <v/>
      </c>
      <c r="Q18" s="29">
        <f>IF(AND(Q$4=1,$A18&gt;Q$3,Q$7&gt;0),MIN(Q38,Startwerte!$B$12*Startwerte!$B$14*(1-Startwerte!$B$13)^($A18-Q$3-1)*Q38/Q$7),0)</f>
        <v/>
      </c>
    </row>
    <row r="19">
      <c r="A19" s="21" t="n">
        <v>10</v>
      </c>
      <c r="B19" s="29">
        <f>IF(AND(B$4=1,$A19&gt;B$3,B$7&gt;0),MIN(B39,Startwerte!$B$12*Startwerte!$B$14*(1-Startwerte!$B$13)^($A19-B$3-1)*B39/B$7),0)</f>
        <v/>
      </c>
      <c r="C19" s="29">
        <f>IF(AND(C$4=1,$A19&gt;C$3,C$7&gt;0),MIN(C39,Startwerte!$B$12*Startwerte!$B$14*(1-Startwerte!$B$13)^($A19-C$3-1)*C39/C$7),0)</f>
        <v/>
      </c>
      <c r="D19" s="29">
        <f>IF(AND(D$4=1,$A19&gt;D$3,D$7&gt;0),MIN(D39,Startwerte!$B$12*Startwerte!$B$14*(1-Startwerte!$B$13)^($A19-D$3-1)*D39/D$7),0)</f>
        <v/>
      </c>
      <c r="E19" s="29">
        <f>IF(AND(E$4=1,$A19&gt;E$3,E$7&gt;0),MIN(E39,Startwerte!$B$12*Startwerte!$B$14*(1-Startwerte!$B$13)^($A19-E$3-1)*E39/E$7),0)</f>
        <v/>
      </c>
      <c r="F19" s="29">
        <f>IF(AND(F$4=1,$A19&gt;F$3,F$7&gt;0),MIN(F39,Startwerte!$B$12*Startwerte!$B$14*(1-Startwerte!$B$13)^($A19-F$3-1)*F39/F$7),0)</f>
        <v/>
      </c>
      <c r="G19" s="29">
        <f>IF(AND(G$4=1,$A19&gt;G$3,G$7&gt;0),MIN(G39,Startwerte!$B$12*Startwerte!$B$14*(1-Startwerte!$B$13)^($A19-G$3-1)*G39/G$7),0)</f>
        <v/>
      </c>
      <c r="H19" s="29">
        <f>IF(AND(H$4=1,$A19&gt;H$3,H$7&gt;0),MIN(H39,Startwerte!$B$12*Startwerte!$B$14*(1-Startwerte!$B$13)^($A19-H$3-1)*H39/H$7),0)</f>
        <v/>
      </c>
      <c r="I19" s="29">
        <f>IF(AND(I$4=1,$A19&gt;I$3,I$7&gt;0),MIN(I39,Startwerte!$B$12*Startwerte!$B$14*(1-Startwerte!$B$13)^($A19-I$3-1)*I39/I$7),0)</f>
        <v/>
      </c>
      <c r="J19" s="29">
        <f>IF(AND(J$4=1,$A19&gt;J$3,J$7&gt;0),MIN(J39,Startwerte!$B$12*Startwerte!$B$14*(1-Startwerte!$B$13)^($A19-J$3-1)*J39/J$7),0)</f>
        <v/>
      </c>
      <c r="K19" s="29">
        <f>IF(AND(K$4=1,$A19&gt;K$3,K$7&gt;0),MIN(K39,Startwerte!$B$12*Startwerte!$B$14*(1-Startwerte!$B$13)^($A19-K$3-1)*K39/K$7),0)</f>
        <v/>
      </c>
      <c r="L19" s="29">
        <f>IF(AND(L$4=1,$A19&gt;L$3,L$7&gt;0),MIN(L39,Startwerte!$B$12*Startwerte!$B$14*(1-Startwerte!$B$13)^($A19-L$3-1)*L39/L$7),0)</f>
        <v/>
      </c>
      <c r="M19" s="29">
        <f>IF(AND(M$4=1,$A19&gt;M$3,M$7&gt;0),MIN(M39,Startwerte!$B$12*Startwerte!$B$14*(1-Startwerte!$B$13)^($A19-M$3-1)*M39/M$7),0)</f>
        <v/>
      </c>
      <c r="N19" s="29">
        <f>IF(AND(N$4=1,$A19&gt;N$3,N$7&gt;0),MIN(N39,Startwerte!$B$12*Startwerte!$B$14*(1-Startwerte!$B$13)^($A19-N$3-1)*N39/N$7),0)</f>
        <v/>
      </c>
      <c r="O19" s="29">
        <f>IF(AND(O$4=1,$A19&gt;O$3,O$7&gt;0),MIN(O39,Startwerte!$B$12*Startwerte!$B$14*(1-Startwerte!$B$13)^($A19-O$3-1)*O39/O$7),0)</f>
        <v/>
      </c>
      <c r="P19" s="29">
        <f>IF(AND(P$4=1,$A19&gt;P$3,P$7&gt;0),MIN(P39,Startwerte!$B$12*Startwerte!$B$14*(1-Startwerte!$B$13)^($A19-P$3-1)*P39/P$7),0)</f>
        <v/>
      </c>
      <c r="Q19" s="29">
        <f>IF(AND(Q$4=1,$A19&gt;Q$3,Q$7&gt;0),MIN(Q39,Startwerte!$B$12*Startwerte!$B$14*(1-Startwerte!$B$13)^($A19-Q$3-1)*Q39/Q$7),0)</f>
        <v/>
      </c>
    </row>
    <row r="20">
      <c r="A20" s="21" t="n">
        <v>11</v>
      </c>
      <c r="B20" s="29">
        <f>IF(AND(B$4=1,$A20&gt;B$3,B$7&gt;0),MIN(B40,Startwerte!$B$12*Startwerte!$B$14*(1-Startwerte!$B$13)^($A20-B$3-1)*B40/B$7),0)</f>
        <v/>
      </c>
      <c r="C20" s="29">
        <f>IF(AND(C$4=1,$A20&gt;C$3,C$7&gt;0),MIN(C40,Startwerte!$B$12*Startwerte!$B$14*(1-Startwerte!$B$13)^($A20-C$3-1)*C40/C$7),0)</f>
        <v/>
      </c>
      <c r="D20" s="29">
        <f>IF(AND(D$4=1,$A20&gt;D$3,D$7&gt;0),MIN(D40,Startwerte!$B$12*Startwerte!$B$14*(1-Startwerte!$B$13)^($A20-D$3-1)*D40/D$7),0)</f>
        <v/>
      </c>
      <c r="E20" s="29">
        <f>IF(AND(E$4=1,$A20&gt;E$3,E$7&gt;0),MIN(E40,Startwerte!$B$12*Startwerte!$B$14*(1-Startwerte!$B$13)^($A20-E$3-1)*E40/E$7),0)</f>
        <v/>
      </c>
      <c r="F20" s="29">
        <f>IF(AND(F$4=1,$A20&gt;F$3,F$7&gt;0),MIN(F40,Startwerte!$B$12*Startwerte!$B$14*(1-Startwerte!$B$13)^($A20-F$3-1)*F40/F$7),0)</f>
        <v/>
      </c>
      <c r="G20" s="29">
        <f>IF(AND(G$4=1,$A20&gt;G$3,G$7&gt;0),MIN(G40,Startwerte!$B$12*Startwerte!$B$14*(1-Startwerte!$B$13)^($A20-G$3-1)*G40/G$7),0)</f>
        <v/>
      </c>
      <c r="H20" s="29">
        <f>IF(AND(H$4=1,$A20&gt;H$3,H$7&gt;0),MIN(H40,Startwerte!$B$12*Startwerte!$B$14*(1-Startwerte!$B$13)^($A20-H$3-1)*H40/H$7),0)</f>
        <v/>
      </c>
      <c r="I20" s="29">
        <f>IF(AND(I$4=1,$A20&gt;I$3,I$7&gt;0),MIN(I40,Startwerte!$B$12*Startwerte!$B$14*(1-Startwerte!$B$13)^($A20-I$3-1)*I40/I$7),0)</f>
        <v/>
      </c>
      <c r="J20" s="29">
        <f>IF(AND(J$4=1,$A20&gt;J$3,J$7&gt;0),MIN(J40,Startwerte!$B$12*Startwerte!$B$14*(1-Startwerte!$B$13)^($A20-J$3-1)*J40/J$7),0)</f>
        <v/>
      </c>
      <c r="K20" s="29">
        <f>IF(AND(K$4=1,$A20&gt;K$3,K$7&gt;0),MIN(K40,Startwerte!$B$12*Startwerte!$B$14*(1-Startwerte!$B$13)^($A20-K$3-1)*K40/K$7),0)</f>
        <v/>
      </c>
      <c r="L20" s="29">
        <f>IF(AND(L$4=1,$A20&gt;L$3,L$7&gt;0),MIN(L40,Startwerte!$B$12*Startwerte!$B$14*(1-Startwerte!$B$13)^($A20-L$3-1)*L40/L$7),0)</f>
        <v/>
      </c>
      <c r="M20" s="29">
        <f>IF(AND(M$4=1,$A20&gt;M$3,M$7&gt;0),MIN(M40,Startwerte!$B$12*Startwerte!$B$14*(1-Startwerte!$B$13)^($A20-M$3-1)*M40/M$7),0)</f>
        <v/>
      </c>
      <c r="N20" s="29">
        <f>IF(AND(N$4=1,$A20&gt;N$3,N$7&gt;0),MIN(N40,Startwerte!$B$12*Startwerte!$B$14*(1-Startwerte!$B$13)^($A20-N$3-1)*N40/N$7),0)</f>
        <v/>
      </c>
      <c r="O20" s="29">
        <f>IF(AND(O$4=1,$A20&gt;O$3,O$7&gt;0),MIN(O40,Startwerte!$B$12*Startwerte!$B$14*(1-Startwerte!$B$13)^($A20-O$3-1)*O40/O$7),0)</f>
        <v/>
      </c>
      <c r="P20" s="29">
        <f>IF(AND(P$4=1,$A20&gt;P$3,P$7&gt;0),MIN(P40,Startwerte!$B$12*Startwerte!$B$14*(1-Startwerte!$B$13)^($A20-P$3-1)*P40/P$7),0)</f>
        <v/>
      </c>
      <c r="Q20" s="29">
        <f>IF(AND(Q$4=1,$A20&gt;Q$3,Q$7&gt;0),MIN(Q40,Startwerte!$B$12*Startwerte!$B$14*(1-Startwerte!$B$13)^($A20-Q$3-1)*Q40/Q$7),0)</f>
        <v/>
      </c>
    </row>
    <row r="21">
      <c r="A21" s="21" t="n">
        <v>12</v>
      </c>
      <c r="B21" s="29">
        <f>IF(AND(B$4=1,$A21&gt;B$3,B$7&gt;0),MIN(B41,Startwerte!$B$12*Startwerte!$B$14*(1-Startwerte!$B$13)^($A21-B$3-1)*B41/B$7),0)</f>
        <v/>
      </c>
      <c r="C21" s="29">
        <f>IF(AND(C$4=1,$A21&gt;C$3,C$7&gt;0),MIN(C41,Startwerte!$B$12*Startwerte!$B$14*(1-Startwerte!$B$13)^($A21-C$3-1)*C41/C$7),0)</f>
        <v/>
      </c>
      <c r="D21" s="29">
        <f>IF(AND(D$4=1,$A21&gt;D$3,D$7&gt;0),MIN(D41,Startwerte!$B$12*Startwerte!$B$14*(1-Startwerte!$B$13)^($A21-D$3-1)*D41/D$7),0)</f>
        <v/>
      </c>
      <c r="E21" s="29">
        <f>IF(AND(E$4=1,$A21&gt;E$3,E$7&gt;0),MIN(E41,Startwerte!$B$12*Startwerte!$B$14*(1-Startwerte!$B$13)^($A21-E$3-1)*E41/E$7),0)</f>
        <v/>
      </c>
      <c r="F21" s="29">
        <f>IF(AND(F$4=1,$A21&gt;F$3,F$7&gt;0),MIN(F41,Startwerte!$B$12*Startwerte!$B$14*(1-Startwerte!$B$13)^($A21-F$3-1)*F41/F$7),0)</f>
        <v/>
      </c>
      <c r="G21" s="29">
        <f>IF(AND(G$4=1,$A21&gt;G$3,G$7&gt;0),MIN(G41,Startwerte!$B$12*Startwerte!$B$14*(1-Startwerte!$B$13)^($A21-G$3-1)*G41/G$7),0)</f>
        <v/>
      </c>
      <c r="H21" s="29">
        <f>IF(AND(H$4=1,$A21&gt;H$3,H$7&gt;0),MIN(H41,Startwerte!$B$12*Startwerte!$B$14*(1-Startwerte!$B$13)^($A21-H$3-1)*H41/H$7),0)</f>
        <v/>
      </c>
      <c r="I21" s="29">
        <f>IF(AND(I$4=1,$A21&gt;I$3,I$7&gt;0),MIN(I41,Startwerte!$B$12*Startwerte!$B$14*(1-Startwerte!$B$13)^($A21-I$3-1)*I41/I$7),0)</f>
        <v/>
      </c>
      <c r="J21" s="29">
        <f>IF(AND(J$4=1,$A21&gt;J$3,J$7&gt;0),MIN(J41,Startwerte!$B$12*Startwerte!$B$14*(1-Startwerte!$B$13)^($A21-J$3-1)*J41/J$7),0)</f>
        <v/>
      </c>
      <c r="K21" s="29">
        <f>IF(AND(K$4=1,$A21&gt;K$3,K$7&gt;0),MIN(K41,Startwerte!$B$12*Startwerte!$B$14*(1-Startwerte!$B$13)^($A21-K$3-1)*K41/K$7),0)</f>
        <v/>
      </c>
      <c r="L21" s="29">
        <f>IF(AND(L$4=1,$A21&gt;L$3,L$7&gt;0),MIN(L41,Startwerte!$B$12*Startwerte!$B$14*(1-Startwerte!$B$13)^($A21-L$3-1)*L41/L$7),0)</f>
        <v/>
      </c>
      <c r="M21" s="29">
        <f>IF(AND(M$4=1,$A21&gt;M$3,M$7&gt;0),MIN(M41,Startwerte!$B$12*Startwerte!$B$14*(1-Startwerte!$B$13)^($A21-M$3-1)*M41/M$7),0)</f>
        <v/>
      </c>
      <c r="N21" s="29">
        <f>IF(AND(N$4=1,$A21&gt;N$3,N$7&gt;0),MIN(N41,Startwerte!$B$12*Startwerte!$B$14*(1-Startwerte!$B$13)^($A21-N$3-1)*N41/N$7),0)</f>
        <v/>
      </c>
      <c r="O21" s="29">
        <f>IF(AND(O$4=1,$A21&gt;O$3,O$7&gt;0),MIN(O41,Startwerte!$B$12*Startwerte!$B$14*(1-Startwerte!$B$13)^($A21-O$3-1)*O41/O$7),0)</f>
        <v/>
      </c>
      <c r="P21" s="29">
        <f>IF(AND(P$4=1,$A21&gt;P$3,P$7&gt;0),MIN(P41,Startwerte!$B$12*Startwerte!$B$14*(1-Startwerte!$B$13)^($A21-P$3-1)*P41/P$7),0)</f>
        <v/>
      </c>
      <c r="Q21" s="29">
        <f>IF(AND(Q$4=1,$A21&gt;Q$3,Q$7&gt;0),MIN(Q41,Startwerte!$B$12*Startwerte!$B$14*(1-Startwerte!$B$13)^($A21-Q$3-1)*Q41/Q$7),0)</f>
        <v/>
      </c>
    </row>
    <row r="22">
      <c r="A22" s="21" t="n">
        <v>13</v>
      </c>
      <c r="B22" s="29">
        <f>IF(AND(B$4=1,$A22&gt;B$3,B$7&gt;0),MIN(B42,Startwerte!$B$12*Startwerte!$B$14*(1-Startwerte!$B$13)^($A22-B$3-1)*B42/B$7),0)</f>
        <v/>
      </c>
      <c r="C22" s="29">
        <f>IF(AND(C$4=1,$A22&gt;C$3,C$7&gt;0),MIN(C42,Startwerte!$B$12*Startwerte!$B$14*(1-Startwerte!$B$13)^($A22-C$3-1)*C42/C$7),0)</f>
        <v/>
      </c>
      <c r="D22" s="29">
        <f>IF(AND(D$4=1,$A22&gt;D$3,D$7&gt;0),MIN(D42,Startwerte!$B$12*Startwerte!$B$14*(1-Startwerte!$B$13)^($A22-D$3-1)*D42/D$7),0)</f>
        <v/>
      </c>
      <c r="E22" s="29">
        <f>IF(AND(E$4=1,$A22&gt;E$3,E$7&gt;0),MIN(E42,Startwerte!$B$12*Startwerte!$B$14*(1-Startwerte!$B$13)^($A22-E$3-1)*E42/E$7),0)</f>
        <v/>
      </c>
      <c r="F22" s="29">
        <f>IF(AND(F$4=1,$A22&gt;F$3,F$7&gt;0),MIN(F42,Startwerte!$B$12*Startwerte!$B$14*(1-Startwerte!$B$13)^($A22-F$3-1)*F42/F$7),0)</f>
        <v/>
      </c>
      <c r="G22" s="29">
        <f>IF(AND(G$4=1,$A22&gt;G$3,G$7&gt;0),MIN(G42,Startwerte!$B$12*Startwerte!$B$14*(1-Startwerte!$B$13)^($A22-G$3-1)*G42/G$7),0)</f>
        <v/>
      </c>
      <c r="H22" s="29">
        <f>IF(AND(H$4=1,$A22&gt;H$3,H$7&gt;0),MIN(H42,Startwerte!$B$12*Startwerte!$B$14*(1-Startwerte!$B$13)^($A22-H$3-1)*H42/H$7),0)</f>
        <v/>
      </c>
      <c r="I22" s="29">
        <f>IF(AND(I$4=1,$A22&gt;I$3,I$7&gt;0),MIN(I42,Startwerte!$B$12*Startwerte!$B$14*(1-Startwerte!$B$13)^($A22-I$3-1)*I42/I$7),0)</f>
        <v/>
      </c>
      <c r="J22" s="29">
        <f>IF(AND(J$4=1,$A22&gt;J$3,J$7&gt;0),MIN(J42,Startwerte!$B$12*Startwerte!$B$14*(1-Startwerte!$B$13)^($A22-J$3-1)*J42/J$7),0)</f>
        <v/>
      </c>
      <c r="K22" s="29">
        <f>IF(AND(K$4=1,$A22&gt;K$3,K$7&gt;0),MIN(K42,Startwerte!$B$12*Startwerte!$B$14*(1-Startwerte!$B$13)^($A22-K$3-1)*K42/K$7),0)</f>
        <v/>
      </c>
      <c r="L22" s="29">
        <f>IF(AND(L$4=1,$A22&gt;L$3,L$7&gt;0),MIN(L42,Startwerte!$B$12*Startwerte!$B$14*(1-Startwerte!$B$13)^($A22-L$3-1)*L42/L$7),0)</f>
        <v/>
      </c>
      <c r="M22" s="29">
        <f>IF(AND(M$4=1,$A22&gt;M$3,M$7&gt;0),MIN(M42,Startwerte!$B$12*Startwerte!$B$14*(1-Startwerte!$B$13)^($A22-M$3-1)*M42/M$7),0)</f>
        <v/>
      </c>
      <c r="N22" s="29">
        <f>IF(AND(N$4=1,$A22&gt;N$3,N$7&gt;0),MIN(N42,Startwerte!$B$12*Startwerte!$B$14*(1-Startwerte!$B$13)^($A22-N$3-1)*N42/N$7),0)</f>
        <v/>
      </c>
      <c r="O22" s="29">
        <f>IF(AND(O$4=1,$A22&gt;O$3,O$7&gt;0),MIN(O42,Startwerte!$B$12*Startwerte!$B$14*(1-Startwerte!$B$13)^($A22-O$3-1)*O42/O$7),0)</f>
        <v/>
      </c>
      <c r="P22" s="29">
        <f>IF(AND(P$4=1,$A22&gt;P$3,P$7&gt;0),MIN(P42,Startwerte!$B$12*Startwerte!$B$14*(1-Startwerte!$B$13)^($A22-P$3-1)*P42/P$7),0)</f>
        <v/>
      </c>
      <c r="Q22" s="29">
        <f>IF(AND(Q$4=1,$A22&gt;Q$3,Q$7&gt;0),MIN(Q42,Startwerte!$B$12*Startwerte!$B$14*(1-Startwerte!$B$13)^($A22-Q$3-1)*Q42/Q$7),0)</f>
        <v/>
      </c>
    </row>
    <row r="23">
      <c r="A23" s="21" t="n">
        <v>14</v>
      </c>
      <c r="B23" s="29">
        <f>IF(AND(B$4=1,$A23&gt;B$3,B$7&gt;0),MIN(B43,Startwerte!$B$12*Startwerte!$B$14*(1-Startwerte!$B$13)^($A23-B$3-1)*B43/B$7),0)</f>
        <v/>
      </c>
      <c r="C23" s="29">
        <f>IF(AND(C$4=1,$A23&gt;C$3,C$7&gt;0),MIN(C43,Startwerte!$B$12*Startwerte!$B$14*(1-Startwerte!$B$13)^($A23-C$3-1)*C43/C$7),0)</f>
        <v/>
      </c>
      <c r="D23" s="29">
        <f>IF(AND(D$4=1,$A23&gt;D$3,D$7&gt;0),MIN(D43,Startwerte!$B$12*Startwerte!$B$14*(1-Startwerte!$B$13)^($A23-D$3-1)*D43/D$7),0)</f>
        <v/>
      </c>
      <c r="E23" s="29">
        <f>IF(AND(E$4=1,$A23&gt;E$3,E$7&gt;0),MIN(E43,Startwerte!$B$12*Startwerte!$B$14*(1-Startwerte!$B$13)^($A23-E$3-1)*E43/E$7),0)</f>
        <v/>
      </c>
      <c r="F23" s="29">
        <f>IF(AND(F$4=1,$A23&gt;F$3,F$7&gt;0),MIN(F43,Startwerte!$B$12*Startwerte!$B$14*(1-Startwerte!$B$13)^($A23-F$3-1)*F43/F$7),0)</f>
        <v/>
      </c>
      <c r="G23" s="29">
        <f>IF(AND(G$4=1,$A23&gt;G$3,G$7&gt;0),MIN(G43,Startwerte!$B$12*Startwerte!$B$14*(1-Startwerte!$B$13)^($A23-G$3-1)*G43/G$7),0)</f>
        <v/>
      </c>
      <c r="H23" s="29">
        <f>IF(AND(H$4=1,$A23&gt;H$3,H$7&gt;0),MIN(H43,Startwerte!$B$12*Startwerte!$B$14*(1-Startwerte!$B$13)^($A23-H$3-1)*H43/H$7),0)</f>
        <v/>
      </c>
      <c r="I23" s="29">
        <f>IF(AND(I$4=1,$A23&gt;I$3,I$7&gt;0),MIN(I43,Startwerte!$B$12*Startwerte!$B$14*(1-Startwerte!$B$13)^($A23-I$3-1)*I43/I$7),0)</f>
        <v/>
      </c>
      <c r="J23" s="29">
        <f>IF(AND(J$4=1,$A23&gt;J$3,J$7&gt;0),MIN(J43,Startwerte!$B$12*Startwerte!$B$14*(1-Startwerte!$B$13)^($A23-J$3-1)*J43/J$7),0)</f>
        <v/>
      </c>
      <c r="K23" s="29">
        <f>IF(AND(K$4=1,$A23&gt;K$3,K$7&gt;0),MIN(K43,Startwerte!$B$12*Startwerte!$B$14*(1-Startwerte!$B$13)^($A23-K$3-1)*K43/K$7),0)</f>
        <v/>
      </c>
      <c r="L23" s="29">
        <f>IF(AND(L$4=1,$A23&gt;L$3,L$7&gt;0),MIN(L43,Startwerte!$B$12*Startwerte!$B$14*(1-Startwerte!$B$13)^($A23-L$3-1)*L43/L$7),0)</f>
        <v/>
      </c>
      <c r="M23" s="29">
        <f>IF(AND(M$4=1,$A23&gt;M$3,M$7&gt;0),MIN(M43,Startwerte!$B$12*Startwerte!$B$14*(1-Startwerte!$B$13)^($A23-M$3-1)*M43/M$7),0)</f>
        <v/>
      </c>
      <c r="N23" s="29">
        <f>IF(AND(N$4=1,$A23&gt;N$3,N$7&gt;0),MIN(N43,Startwerte!$B$12*Startwerte!$B$14*(1-Startwerte!$B$13)^($A23-N$3-1)*N43/N$7),0)</f>
        <v/>
      </c>
      <c r="O23" s="29">
        <f>IF(AND(O$4=1,$A23&gt;O$3,O$7&gt;0),MIN(O43,Startwerte!$B$12*Startwerte!$B$14*(1-Startwerte!$B$13)^($A23-O$3-1)*O43/O$7),0)</f>
        <v/>
      </c>
      <c r="P23" s="29">
        <f>IF(AND(P$4=1,$A23&gt;P$3,P$7&gt;0),MIN(P43,Startwerte!$B$12*Startwerte!$B$14*(1-Startwerte!$B$13)^($A23-P$3-1)*P43/P$7),0)</f>
        <v/>
      </c>
      <c r="Q23" s="29">
        <f>IF(AND(Q$4=1,$A23&gt;Q$3,Q$7&gt;0),MIN(Q43,Startwerte!$B$12*Startwerte!$B$14*(1-Startwerte!$B$13)^($A23-Q$3-1)*Q43/Q$7),0)</f>
        <v/>
      </c>
    </row>
    <row r="24">
      <c r="A24" s="21" t="n">
        <v>15</v>
      </c>
      <c r="B24" s="29">
        <f>IF(AND(B$4=1,$A24&gt;B$3,B$7&gt;0),MIN(B44,Startwerte!$B$12*Startwerte!$B$14*(1-Startwerte!$B$13)^($A24-B$3-1)*B44/B$7),0)</f>
        <v/>
      </c>
      <c r="C24" s="29">
        <f>IF(AND(C$4=1,$A24&gt;C$3,C$7&gt;0),MIN(C44,Startwerte!$B$12*Startwerte!$B$14*(1-Startwerte!$B$13)^($A24-C$3-1)*C44/C$7),0)</f>
        <v/>
      </c>
      <c r="D24" s="29">
        <f>IF(AND(D$4=1,$A24&gt;D$3,D$7&gt;0),MIN(D44,Startwerte!$B$12*Startwerte!$B$14*(1-Startwerte!$B$13)^($A24-D$3-1)*D44/D$7),0)</f>
        <v/>
      </c>
      <c r="E24" s="29">
        <f>IF(AND(E$4=1,$A24&gt;E$3,E$7&gt;0),MIN(E44,Startwerte!$B$12*Startwerte!$B$14*(1-Startwerte!$B$13)^($A24-E$3-1)*E44/E$7),0)</f>
        <v/>
      </c>
      <c r="F24" s="29">
        <f>IF(AND(F$4=1,$A24&gt;F$3,F$7&gt;0),MIN(F44,Startwerte!$B$12*Startwerte!$B$14*(1-Startwerte!$B$13)^($A24-F$3-1)*F44/F$7),0)</f>
        <v/>
      </c>
      <c r="G24" s="29">
        <f>IF(AND(G$4=1,$A24&gt;G$3,G$7&gt;0),MIN(G44,Startwerte!$B$12*Startwerte!$B$14*(1-Startwerte!$B$13)^($A24-G$3-1)*G44/G$7),0)</f>
        <v/>
      </c>
      <c r="H24" s="29">
        <f>IF(AND(H$4=1,$A24&gt;H$3,H$7&gt;0),MIN(H44,Startwerte!$B$12*Startwerte!$B$14*(1-Startwerte!$B$13)^($A24-H$3-1)*H44/H$7),0)</f>
        <v/>
      </c>
      <c r="I24" s="29">
        <f>IF(AND(I$4=1,$A24&gt;I$3,I$7&gt;0),MIN(I44,Startwerte!$B$12*Startwerte!$B$14*(1-Startwerte!$B$13)^($A24-I$3-1)*I44/I$7),0)</f>
        <v/>
      </c>
      <c r="J24" s="29">
        <f>IF(AND(J$4=1,$A24&gt;J$3,J$7&gt;0),MIN(J44,Startwerte!$B$12*Startwerte!$B$14*(1-Startwerte!$B$13)^($A24-J$3-1)*J44/J$7),0)</f>
        <v/>
      </c>
      <c r="K24" s="29">
        <f>IF(AND(K$4=1,$A24&gt;K$3,K$7&gt;0),MIN(K44,Startwerte!$B$12*Startwerte!$B$14*(1-Startwerte!$B$13)^($A24-K$3-1)*K44/K$7),0)</f>
        <v/>
      </c>
      <c r="L24" s="29">
        <f>IF(AND(L$4=1,$A24&gt;L$3,L$7&gt;0),MIN(L44,Startwerte!$B$12*Startwerte!$B$14*(1-Startwerte!$B$13)^($A24-L$3-1)*L44/L$7),0)</f>
        <v/>
      </c>
      <c r="M24" s="29">
        <f>IF(AND(M$4=1,$A24&gt;M$3,M$7&gt;0),MIN(M44,Startwerte!$B$12*Startwerte!$B$14*(1-Startwerte!$B$13)^($A24-M$3-1)*M44/M$7),0)</f>
        <v/>
      </c>
      <c r="N24" s="29">
        <f>IF(AND(N$4=1,$A24&gt;N$3,N$7&gt;0),MIN(N44,Startwerte!$B$12*Startwerte!$B$14*(1-Startwerte!$B$13)^($A24-N$3-1)*N44/N$7),0)</f>
        <v/>
      </c>
      <c r="O24" s="29">
        <f>IF(AND(O$4=1,$A24&gt;O$3,O$7&gt;0),MIN(O44,Startwerte!$B$12*Startwerte!$B$14*(1-Startwerte!$B$13)^($A24-O$3-1)*O44/O$7),0)</f>
        <v/>
      </c>
      <c r="P24" s="29">
        <f>IF(AND(P$4=1,$A24&gt;P$3,P$7&gt;0),MIN(P44,Startwerte!$B$12*Startwerte!$B$14*(1-Startwerte!$B$13)^($A24-P$3-1)*P44/P$7),0)</f>
        <v/>
      </c>
      <c r="Q24" s="29">
        <f>IF(AND(Q$4=1,$A24&gt;Q$3,Q$7&gt;0),MIN(Q44,Startwerte!$B$12*Startwerte!$B$14*(1-Startwerte!$B$13)^($A24-Q$3-1)*Q44/Q$7),0)</f>
        <v/>
      </c>
    </row>
    <row r="25">
      <c r="A25" s="21" t="n">
        <v>16</v>
      </c>
      <c r="B25" s="29">
        <f>IF(AND(B$4=1,$A25&gt;B$3,B$7&gt;0),MIN(B45,Startwerte!$B$12*Startwerte!$B$14*(1-Startwerte!$B$13)^($A25-B$3-1)*B45/B$7),0)</f>
        <v/>
      </c>
      <c r="C25" s="29">
        <f>IF(AND(C$4=1,$A25&gt;C$3,C$7&gt;0),MIN(C45,Startwerte!$B$12*Startwerte!$B$14*(1-Startwerte!$B$13)^($A25-C$3-1)*C45/C$7),0)</f>
        <v/>
      </c>
      <c r="D25" s="29">
        <f>IF(AND(D$4=1,$A25&gt;D$3,D$7&gt;0),MIN(D45,Startwerte!$B$12*Startwerte!$B$14*(1-Startwerte!$B$13)^($A25-D$3-1)*D45/D$7),0)</f>
        <v/>
      </c>
      <c r="E25" s="29">
        <f>IF(AND(E$4=1,$A25&gt;E$3,E$7&gt;0),MIN(E45,Startwerte!$B$12*Startwerte!$B$14*(1-Startwerte!$B$13)^($A25-E$3-1)*E45/E$7),0)</f>
        <v/>
      </c>
      <c r="F25" s="29">
        <f>IF(AND(F$4=1,$A25&gt;F$3,F$7&gt;0),MIN(F45,Startwerte!$B$12*Startwerte!$B$14*(1-Startwerte!$B$13)^($A25-F$3-1)*F45/F$7),0)</f>
        <v/>
      </c>
      <c r="G25" s="29">
        <f>IF(AND(G$4=1,$A25&gt;G$3,G$7&gt;0),MIN(G45,Startwerte!$B$12*Startwerte!$B$14*(1-Startwerte!$B$13)^($A25-G$3-1)*G45/G$7),0)</f>
        <v/>
      </c>
      <c r="H25" s="29">
        <f>IF(AND(H$4=1,$A25&gt;H$3,H$7&gt;0),MIN(H45,Startwerte!$B$12*Startwerte!$B$14*(1-Startwerte!$B$13)^($A25-H$3-1)*H45/H$7),0)</f>
        <v/>
      </c>
      <c r="I25" s="29">
        <f>IF(AND(I$4=1,$A25&gt;I$3,I$7&gt;0),MIN(I45,Startwerte!$B$12*Startwerte!$B$14*(1-Startwerte!$B$13)^($A25-I$3-1)*I45/I$7),0)</f>
        <v/>
      </c>
      <c r="J25" s="29">
        <f>IF(AND(J$4=1,$A25&gt;J$3,J$7&gt;0),MIN(J45,Startwerte!$B$12*Startwerte!$B$14*(1-Startwerte!$B$13)^($A25-J$3-1)*J45/J$7),0)</f>
        <v/>
      </c>
      <c r="K25" s="29">
        <f>IF(AND(K$4=1,$A25&gt;K$3,K$7&gt;0),MIN(K45,Startwerte!$B$12*Startwerte!$B$14*(1-Startwerte!$B$13)^($A25-K$3-1)*K45/K$7),0)</f>
        <v/>
      </c>
      <c r="L25" s="29">
        <f>IF(AND(L$4=1,$A25&gt;L$3,L$7&gt;0),MIN(L45,Startwerte!$B$12*Startwerte!$B$14*(1-Startwerte!$B$13)^($A25-L$3-1)*L45/L$7),0)</f>
        <v/>
      </c>
      <c r="M25" s="29">
        <f>IF(AND(M$4=1,$A25&gt;M$3,M$7&gt;0),MIN(M45,Startwerte!$B$12*Startwerte!$B$14*(1-Startwerte!$B$13)^($A25-M$3-1)*M45/M$7),0)</f>
        <v/>
      </c>
      <c r="N25" s="29">
        <f>IF(AND(N$4=1,$A25&gt;N$3,N$7&gt;0),MIN(N45,Startwerte!$B$12*Startwerte!$B$14*(1-Startwerte!$B$13)^($A25-N$3-1)*N45/N$7),0)</f>
        <v/>
      </c>
      <c r="O25" s="29">
        <f>IF(AND(O$4=1,$A25&gt;O$3,O$7&gt;0),MIN(O45,Startwerte!$B$12*Startwerte!$B$14*(1-Startwerte!$B$13)^($A25-O$3-1)*O45/O$7),0)</f>
        <v/>
      </c>
      <c r="P25" s="29">
        <f>IF(AND(P$4=1,$A25&gt;P$3,P$7&gt;0),MIN(P45,Startwerte!$B$12*Startwerte!$B$14*(1-Startwerte!$B$13)^($A25-P$3-1)*P45/P$7),0)</f>
        <v/>
      </c>
      <c r="Q25" s="29">
        <f>IF(AND(Q$4=1,$A25&gt;Q$3,Q$7&gt;0),MIN(Q45,Startwerte!$B$12*Startwerte!$B$14*(1-Startwerte!$B$13)^($A25-Q$3-1)*Q45/Q$7),0)</f>
        <v/>
      </c>
    </row>
    <row r="29">
      <c r="A29" s="21" t="inlineStr">
        <is>
          <t>Restreserve zu Rundenbeginn (bbl)</t>
        </is>
      </c>
    </row>
    <row r="30">
      <c r="A30" s="21" t="n">
        <v>1</v>
      </c>
      <c r="B30" s="29">
        <f>B$7</f>
        <v/>
      </c>
      <c r="C30" s="29">
        <f>C$7</f>
        <v/>
      </c>
      <c r="D30" s="29">
        <f>D$7</f>
        <v/>
      </c>
      <c r="E30" s="29">
        <f>E$7</f>
        <v/>
      </c>
      <c r="F30" s="29">
        <f>F$7</f>
        <v/>
      </c>
      <c r="G30" s="29">
        <f>G$7</f>
        <v/>
      </c>
      <c r="H30" s="29">
        <f>H$7</f>
        <v/>
      </c>
      <c r="I30" s="29">
        <f>I$7</f>
        <v/>
      </c>
      <c r="J30" s="29">
        <f>J$7</f>
        <v/>
      </c>
      <c r="K30" s="29">
        <f>K$7</f>
        <v/>
      </c>
      <c r="L30" s="29">
        <f>L$7</f>
        <v/>
      </c>
      <c r="M30" s="29">
        <f>M$7</f>
        <v/>
      </c>
      <c r="N30" s="29">
        <f>N$7</f>
        <v/>
      </c>
      <c r="O30" s="29">
        <f>O$7</f>
        <v/>
      </c>
      <c r="P30" s="29">
        <f>P$7</f>
        <v/>
      </c>
      <c r="Q30" s="29">
        <f>Q$7</f>
        <v/>
      </c>
    </row>
    <row r="31">
      <c r="A31" s="21" t="n">
        <v>2</v>
      </c>
      <c r="B31" s="29">
        <f>B30-B10</f>
        <v/>
      </c>
      <c r="C31" s="29">
        <f>C30-C10</f>
        <v/>
      </c>
      <c r="D31" s="29">
        <f>D30-D10</f>
        <v/>
      </c>
      <c r="E31" s="29">
        <f>E30-E10</f>
        <v/>
      </c>
      <c r="F31" s="29">
        <f>F30-F10</f>
        <v/>
      </c>
      <c r="G31" s="29">
        <f>G30-G10</f>
        <v/>
      </c>
      <c r="H31" s="29">
        <f>H30-H10</f>
        <v/>
      </c>
      <c r="I31" s="29">
        <f>I30-I10</f>
        <v/>
      </c>
      <c r="J31" s="29">
        <f>J30-J10</f>
        <v/>
      </c>
      <c r="K31" s="29">
        <f>K30-K10</f>
        <v/>
      </c>
      <c r="L31" s="29">
        <f>L30-L10</f>
        <v/>
      </c>
      <c r="M31" s="29">
        <f>M30-M10</f>
        <v/>
      </c>
      <c r="N31" s="29">
        <f>N30-N10</f>
        <v/>
      </c>
      <c r="O31" s="29">
        <f>O30-O10</f>
        <v/>
      </c>
      <c r="P31" s="29">
        <f>P30-P10</f>
        <v/>
      </c>
      <c r="Q31" s="29">
        <f>Q30-Q10</f>
        <v/>
      </c>
    </row>
    <row r="32">
      <c r="A32" s="21" t="n">
        <v>3</v>
      </c>
      <c r="B32" s="29">
        <f>B31-B11</f>
        <v/>
      </c>
      <c r="C32" s="29">
        <f>C31-C11</f>
        <v/>
      </c>
      <c r="D32" s="29">
        <f>D31-D11</f>
        <v/>
      </c>
      <c r="E32" s="29">
        <f>E31-E11</f>
        <v/>
      </c>
      <c r="F32" s="29">
        <f>F31-F11</f>
        <v/>
      </c>
      <c r="G32" s="29">
        <f>G31-G11</f>
        <v/>
      </c>
      <c r="H32" s="29">
        <f>H31-H11</f>
        <v/>
      </c>
      <c r="I32" s="29">
        <f>I31-I11</f>
        <v/>
      </c>
      <c r="J32" s="29">
        <f>J31-J11</f>
        <v/>
      </c>
      <c r="K32" s="29">
        <f>K31-K11</f>
        <v/>
      </c>
      <c r="L32" s="29">
        <f>L31-L11</f>
        <v/>
      </c>
      <c r="M32" s="29">
        <f>M31-M11</f>
        <v/>
      </c>
      <c r="N32" s="29">
        <f>N31-N11</f>
        <v/>
      </c>
      <c r="O32" s="29">
        <f>O31-O11</f>
        <v/>
      </c>
      <c r="P32" s="29">
        <f>P31-P11</f>
        <v/>
      </c>
      <c r="Q32" s="29">
        <f>Q31-Q11</f>
        <v/>
      </c>
    </row>
    <row r="33">
      <c r="A33" s="21" t="n">
        <v>4</v>
      </c>
      <c r="B33" s="29">
        <f>B32-B12</f>
        <v/>
      </c>
      <c r="C33" s="29">
        <f>C32-C12</f>
        <v/>
      </c>
      <c r="D33" s="29">
        <f>D32-D12</f>
        <v/>
      </c>
      <c r="E33" s="29">
        <f>E32-E12</f>
        <v/>
      </c>
      <c r="F33" s="29">
        <f>F32-F12</f>
        <v/>
      </c>
      <c r="G33" s="29">
        <f>G32-G12</f>
        <v/>
      </c>
      <c r="H33" s="29">
        <f>H32-H12</f>
        <v/>
      </c>
      <c r="I33" s="29">
        <f>I32-I12</f>
        <v/>
      </c>
      <c r="J33" s="29">
        <f>J32-J12</f>
        <v/>
      </c>
      <c r="K33" s="29">
        <f>K32-K12</f>
        <v/>
      </c>
      <c r="L33" s="29">
        <f>L32-L12</f>
        <v/>
      </c>
      <c r="M33" s="29">
        <f>M32-M12</f>
        <v/>
      </c>
      <c r="N33" s="29">
        <f>N32-N12</f>
        <v/>
      </c>
      <c r="O33" s="29">
        <f>O32-O12</f>
        <v/>
      </c>
      <c r="P33" s="29">
        <f>P32-P12</f>
        <v/>
      </c>
      <c r="Q33" s="29">
        <f>Q32-Q12</f>
        <v/>
      </c>
    </row>
    <row r="34">
      <c r="A34" s="21" t="n">
        <v>5</v>
      </c>
      <c r="B34" s="29">
        <f>B33-B13</f>
        <v/>
      </c>
      <c r="C34" s="29">
        <f>C33-C13</f>
        <v/>
      </c>
      <c r="D34" s="29">
        <f>D33-D13</f>
        <v/>
      </c>
      <c r="E34" s="29">
        <f>E33-E13</f>
        <v/>
      </c>
      <c r="F34" s="29">
        <f>F33-F13</f>
        <v/>
      </c>
      <c r="G34" s="29">
        <f>G33-G13</f>
        <v/>
      </c>
      <c r="H34" s="29">
        <f>H33-H13</f>
        <v/>
      </c>
      <c r="I34" s="29">
        <f>I33-I13</f>
        <v/>
      </c>
      <c r="J34" s="29">
        <f>J33-J13</f>
        <v/>
      </c>
      <c r="K34" s="29">
        <f>K33-K13</f>
        <v/>
      </c>
      <c r="L34" s="29">
        <f>L33-L13</f>
        <v/>
      </c>
      <c r="M34" s="29">
        <f>M33-M13</f>
        <v/>
      </c>
      <c r="N34" s="29">
        <f>N33-N13</f>
        <v/>
      </c>
      <c r="O34" s="29">
        <f>O33-O13</f>
        <v/>
      </c>
      <c r="P34" s="29">
        <f>P33-P13</f>
        <v/>
      </c>
      <c r="Q34" s="29">
        <f>Q33-Q13</f>
        <v/>
      </c>
    </row>
    <row r="35">
      <c r="A35" s="21" t="n">
        <v>6</v>
      </c>
      <c r="B35" s="29">
        <f>B34-B14</f>
        <v/>
      </c>
      <c r="C35" s="29">
        <f>C34-C14</f>
        <v/>
      </c>
      <c r="D35" s="29">
        <f>D34-D14</f>
        <v/>
      </c>
      <c r="E35" s="29">
        <f>E34-E14</f>
        <v/>
      </c>
      <c r="F35" s="29">
        <f>F34-F14</f>
        <v/>
      </c>
      <c r="G35" s="29">
        <f>G34-G14</f>
        <v/>
      </c>
      <c r="H35" s="29">
        <f>H34-H14</f>
        <v/>
      </c>
      <c r="I35" s="29">
        <f>I34-I14</f>
        <v/>
      </c>
      <c r="J35" s="29">
        <f>J34-J14</f>
        <v/>
      </c>
      <c r="K35" s="29">
        <f>K34-K14</f>
        <v/>
      </c>
      <c r="L35" s="29">
        <f>L34-L14</f>
        <v/>
      </c>
      <c r="M35" s="29">
        <f>M34-M14</f>
        <v/>
      </c>
      <c r="N35" s="29">
        <f>N34-N14</f>
        <v/>
      </c>
      <c r="O35" s="29">
        <f>O34-O14</f>
        <v/>
      </c>
      <c r="P35" s="29">
        <f>P34-P14</f>
        <v/>
      </c>
      <c r="Q35" s="29">
        <f>Q34-Q14</f>
        <v/>
      </c>
    </row>
    <row r="36">
      <c r="A36" s="21" t="n">
        <v>7</v>
      </c>
      <c r="B36" s="29">
        <f>B35-B15</f>
        <v/>
      </c>
      <c r="C36" s="29">
        <f>C35-C15</f>
        <v/>
      </c>
      <c r="D36" s="29">
        <f>D35-D15</f>
        <v/>
      </c>
      <c r="E36" s="29">
        <f>E35-E15</f>
        <v/>
      </c>
      <c r="F36" s="29">
        <f>F35-F15</f>
        <v/>
      </c>
      <c r="G36" s="29">
        <f>G35-G15</f>
        <v/>
      </c>
      <c r="H36" s="29">
        <f>H35-H15</f>
        <v/>
      </c>
      <c r="I36" s="29">
        <f>I35-I15</f>
        <v/>
      </c>
      <c r="J36" s="29">
        <f>J35-J15</f>
        <v/>
      </c>
      <c r="K36" s="29">
        <f>K35-K15</f>
        <v/>
      </c>
      <c r="L36" s="29">
        <f>L35-L15</f>
        <v/>
      </c>
      <c r="M36" s="29">
        <f>M35-M15</f>
        <v/>
      </c>
      <c r="N36" s="29">
        <f>N35-N15</f>
        <v/>
      </c>
      <c r="O36" s="29">
        <f>O35-O15</f>
        <v/>
      </c>
      <c r="P36" s="29">
        <f>P35-P15</f>
        <v/>
      </c>
      <c r="Q36" s="29">
        <f>Q35-Q15</f>
        <v/>
      </c>
    </row>
    <row r="37">
      <c r="A37" s="21" t="n">
        <v>8</v>
      </c>
      <c r="B37" s="29">
        <f>B36-B16</f>
        <v/>
      </c>
      <c r="C37" s="29">
        <f>C36-C16</f>
        <v/>
      </c>
      <c r="D37" s="29">
        <f>D36-D16</f>
        <v/>
      </c>
      <c r="E37" s="29">
        <f>E36-E16</f>
        <v/>
      </c>
      <c r="F37" s="29">
        <f>F36-F16</f>
        <v/>
      </c>
      <c r="G37" s="29">
        <f>G36-G16</f>
        <v/>
      </c>
      <c r="H37" s="29">
        <f>H36-H16</f>
        <v/>
      </c>
      <c r="I37" s="29">
        <f>I36-I16</f>
        <v/>
      </c>
      <c r="J37" s="29">
        <f>J36-J16</f>
        <v/>
      </c>
      <c r="K37" s="29">
        <f>K36-K16</f>
        <v/>
      </c>
      <c r="L37" s="29">
        <f>L36-L16</f>
        <v/>
      </c>
      <c r="M37" s="29">
        <f>M36-M16</f>
        <v/>
      </c>
      <c r="N37" s="29">
        <f>N36-N16</f>
        <v/>
      </c>
      <c r="O37" s="29">
        <f>O36-O16</f>
        <v/>
      </c>
      <c r="P37" s="29">
        <f>P36-P16</f>
        <v/>
      </c>
      <c r="Q37" s="29">
        <f>Q36-Q16</f>
        <v/>
      </c>
    </row>
    <row r="38">
      <c r="A38" s="21" t="n">
        <v>9</v>
      </c>
      <c r="B38" s="29">
        <f>B37-B17</f>
        <v/>
      </c>
      <c r="C38" s="29">
        <f>C37-C17</f>
        <v/>
      </c>
      <c r="D38" s="29">
        <f>D37-D17</f>
        <v/>
      </c>
      <c r="E38" s="29">
        <f>E37-E17</f>
        <v/>
      </c>
      <c r="F38" s="29">
        <f>F37-F17</f>
        <v/>
      </c>
      <c r="G38" s="29">
        <f>G37-G17</f>
        <v/>
      </c>
      <c r="H38" s="29">
        <f>H37-H17</f>
        <v/>
      </c>
      <c r="I38" s="29">
        <f>I37-I17</f>
        <v/>
      </c>
      <c r="J38" s="29">
        <f>J37-J17</f>
        <v/>
      </c>
      <c r="K38" s="29">
        <f>K37-K17</f>
        <v/>
      </c>
      <c r="L38" s="29">
        <f>L37-L17</f>
        <v/>
      </c>
      <c r="M38" s="29">
        <f>M37-M17</f>
        <v/>
      </c>
      <c r="N38" s="29">
        <f>N37-N17</f>
        <v/>
      </c>
      <c r="O38" s="29">
        <f>O37-O17</f>
        <v/>
      </c>
      <c r="P38" s="29">
        <f>P37-P17</f>
        <v/>
      </c>
      <c r="Q38" s="29">
        <f>Q37-Q17</f>
        <v/>
      </c>
    </row>
    <row r="39">
      <c r="A39" s="21" t="n">
        <v>10</v>
      </c>
      <c r="B39" s="29">
        <f>B38-B18</f>
        <v/>
      </c>
      <c r="C39" s="29">
        <f>C38-C18</f>
        <v/>
      </c>
      <c r="D39" s="29">
        <f>D38-D18</f>
        <v/>
      </c>
      <c r="E39" s="29">
        <f>E38-E18</f>
        <v/>
      </c>
      <c r="F39" s="29">
        <f>F38-F18</f>
        <v/>
      </c>
      <c r="G39" s="29">
        <f>G38-G18</f>
        <v/>
      </c>
      <c r="H39" s="29">
        <f>H38-H18</f>
        <v/>
      </c>
      <c r="I39" s="29">
        <f>I38-I18</f>
        <v/>
      </c>
      <c r="J39" s="29">
        <f>J38-J18</f>
        <v/>
      </c>
      <c r="K39" s="29">
        <f>K38-K18</f>
        <v/>
      </c>
      <c r="L39" s="29">
        <f>L38-L18</f>
        <v/>
      </c>
      <c r="M39" s="29">
        <f>M38-M18</f>
        <v/>
      </c>
      <c r="N39" s="29">
        <f>N38-N18</f>
        <v/>
      </c>
      <c r="O39" s="29">
        <f>O38-O18</f>
        <v/>
      </c>
      <c r="P39" s="29">
        <f>P38-P18</f>
        <v/>
      </c>
      <c r="Q39" s="29">
        <f>Q38-Q18</f>
        <v/>
      </c>
    </row>
    <row r="40">
      <c r="A40" s="21" t="n">
        <v>11</v>
      </c>
      <c r="B40" s="29">
        <f>B39-B19</f>
        <v/>
      </c>
      <c r="C40" s="29">
        <f>C39-C19</f>
        <v/>
      </c>
      <c r="D40" s="29">
        <f>D39-D19</f>
        <v/>
      </c>
      <c r="E40" s="29">
        <f>E39-E19</f>
        <v/>
      </c>
      <c r="F40" s="29">
        <f>F39-F19</f>
        <v/>
      </c>
      <c r="G40" s="29">
        <f>G39-G19</f>
        <v/>
      </c>
      <c r="H40" s="29">
        <f>H39-H19</f>
        <v/>
      </c>
      <c r="I40" s="29">
        <f>I39-I19</f>
        <v/>
      </c>
      <c r="J40" s="29">
        <f>J39-J19</f>
        <v/>
      </c>
      <c r="K40" s="29">
        <f>K39-K19</f>
        <v/>
      </c>
      <c r="L40" s="29">
        <f>L39-L19</f>
        <v/>
      </c>
      <c r="M40" s="29">
        <f>M39-M19</f>
        <v/>
      </c>
      <c r="N40" s="29">
        <f>N39-N19</f>
        <v/>
      </c>
      <c r="O40" s="29">
        <f>O39-O19</f>
        <v/>
      </c>
      <c r="P40" s="29">
        <f>P39-P19</f>
        <v/>
      </c>
      <c r="Q40" s="29">
        <f>Q39-Q19</f>
        <v/>
      </c>
    </row>
    <row r="41">
      <c r="A41" s="21" t="n">
        <v>12</v>
      </c>
      <c r="B41" s="29">
        <f>B40-B20</f>
        <v/>
      </c>
      <c r="C41" s="29">
        <f>C40-C20</f>
        <v/>
      </c>
      <c r="D41" s="29">
        <f>D40-D20</f>
        <v/>
      </c>
      <c r="E41" s="29">
        <f>E40-E20</f>
        <v/>
      </c>
      <c r="F41" s="29">
        <f>F40-F20</f>
        <v/>
      </c>
      <c r="G41" s="29">
        <f>G40-G20</f>
        <v/>
      </c>
      <c r="H41" s="29">
        <f>H40-H20</f>
        <v/>
      </c>
      <c r="I41" s="29">
        <f>I40-I20</f>
        <v/>
      </c>
      <c r="J41" s="29">
        <f>J40-J20</f>
        <v/>
      </c>
      <c r="K41" s="29">
        <f>K40-K20</f>
        <v/>
      </c>
      <c r="L41" s="29">
        <f>L40-L20</f>
        <v/>
      </c>
      <c r="M41" s="29">
        <f>M40-M20</f>
        <v/>
      </c>
      <c r="N41" s="29">
        <f>N40-N20</f>
        <v/>
      </c>
      <c r="O41" s="29">
        <f>O40-O20</f>
        <v/>
      </c>
      <c r="P41" s="29">
        <f>P40-P20</f>
        <v/>
      </c>
      <c r="Q41" s="29">
        <f>Q40-Q20</f>
        <v/>
      </c>
    </row>
    <row r="42">
      <c r="A42" s="21" t="n">
        <v>13</v>
      </c>
      <c r="B42" s="29">
        <f>B41-B21</f>
        <v/>
      </c>
      <c r="C42" s="29">
        <f>C41-C21</f>
        <v/>
      </c>
      <c r="D42" s="29">
        <f>D41-D21</f>
        <v/>
      </c>
      <c r="E42" s="29">
        <f>E41-E21</f>
        <v/>
      </c>
      <c r="F42" s="29">
        <f>F41-F21</f>
        <v/>
      </c>
      <c r="G42" s="29">
        <f>G41-G21</f>
        <v/>
      </c>
      <c r="H42" s="29">
        <f>H41-H21</f>
        <v/>
      </c>
      <c r="I42" s="29">
        <f>I41-I21</f>
        <v/>
      </c>
      <c r="J42" s="29">
        <f>J41-J21</f>
        <v/>
      </c>
      <c r="K42" s="29">
        <f>K41-K21</f>
        <v/>
      </c>
      <c r="L42" s="29">
        <f>L41-L21</f>
        <v/>
      </c>
      <c r="M42" s="29">
        <f>M41-M21</f>
        <v/>
      </c>
      <c r="N42" s="29">
        <f>N41-N21</f>
        <v/>
      </c>
      <c r="O42" s="29">
        <f>O41-O21</f>
        <v/>
      </c>
      <c r="P42" s="29">
        <f>P41-P21</f>
        <v/>
      </c>
      <c r="Q42" s="29">
        <f>Q41-Q21</f>
        <v/>
      </c>
    </row>
    <row r="43">
      <c r="A43" s="21" t="n">
        <v>14</v>
      </c>
      <c r="B43" s="29">
        <f>B42-B22</f>
        <v/>
      </c>
      <c r="C43" s="29">
        <f>C42-C22</f>
        <v/>
      </c>
      <c r="D43" s="29">
        <f>D42-D22</f>
        <v/>
      </c>
      <c r="E43" s="29">
        <f>E42-E22</f>
        <v/>
      </c>
      <c r="F43" s="29">
        <f>F42-F22</f>
        <v/>
      </c>
      <c r="G43" s="29">
        <f>G42-G22</f>
        <v/>
      </c>
      <c r="H43" s="29">
        <f>H42-H22</f>
        <v/>
      </c>
      <c r="I43" s="29">
        <f>I42-I22</f>
        <v/>
      </c>
      <c r="J43" s="29">
        <f>J42-J22</f>
        <v/>
      </c>
      <c r="K43" s="29">
        <f>K42-K22</f>
        <v/>
      </c>
      <c r="L43" s="29">
        <f>L42-L22</f>
        <v/>
      </c>
      <c r="M43" s="29">
        <f>M42-M22</f>
        <v/>
      </c>
      <c r="N43" s="29">
        <f>N42-N22</f>
        <v/>
      </c>
      <c r="O43" s="29">
        <f>O42-O22</f>
        <v/>
      </c>
      <c r="P43" s="29">
        <f>P42-P22</f>
        <v/>
      </c>
      <c r="Q43" s="29">
        <f>Q42-Q22</f>
        <v/>
      </c>
    </row>
    <row r="44">
      <c r="A44" s="21" t="n">
        <v>15</v>
      </c>
      <c r="B44" s="29">
        <f>B43-B23</f>
        <v/>
      </c>
      <c r="C44" s="29">
        <f>C43-C23</f>
        <v/>
      </c>
      <c r="D44" s="29">
        <f>D43-D23</f>
        <v/>
      </c>
      <c r="E44" s="29">
        <f>E43-E23</f>
        <v/>
      </c>
      <c r="F44" s="29">
        <f>F43-F23</f>
        <v/>
      </c>
      <c r="G44" s="29">
        <f>G43-G23</f>
        <v/>
      </c>
      <c r="H44" s="29">
        <f>H43-H23</f>
        <v/>
      </c>
      <c r="I44" s="29">
        <f>I43-I23</f>
        <v/>
      </c>
      <c r="J44" s="29">
        <f>J43-J23</f>
        <v/>
      </c>
      <c r="K44" s="29">
        <f>K43-K23</f>
        <v/>
      </c>
      <c r="L44" s="29">
        <f>L43-L23</f>
        <v/>
      </c>
      <c r="M44" s="29">
        <f>M43-M23</f>
        <v/>
      </c>
      <c r="N44" s="29">
        <f>N43-N23</f>
        <v/>
      </c>
      <c r="O44" s="29">
        <f>O43-O23</f>
        <v/>
      </c>
      <c r="P44" s="29">
        <f>P43-P23</f>
        <v/>
      </c>
      <c r="Q44" s="29">
        <f>Q43-Q23</f>
        <v/>
      </c>
    </row>
    <row r="45">
      <c r="A45" s="21" t="n">
        <v>16</v>
      </c>
      <c r="B45" s="29">
        <f>B44-B24</f>
        <v/>
      </c>
      <c r="C45" s="29">
        <f>C44-C24</f>
        <v/>
      </c>
      <c r="D45" s="29">
        <f>D44-D24</f>
        <v/>
      </c>
      <c r="E45" s="29">
        <f>E44-E24</f>
        <v/>
      </c>
      <c r="F45" s="29">
        <f>F44-F24</f>
        <v/>
      </c>
      <c r="G45" s="29">
        <f>G44-G24</f>
        <v/>
      </c>
      <c r="H45" s="29">
        <f>H44-H24</f>
        <v/>
      </c>
      <c r="I45" s="29">
        <f>I44-I24</f>
        <v/>
      </c>
      <c r="J45" s="29">
        <f>J44-J24</f>
        <v/>
      </c>
      <c r="K45" s="29">
        <f>K44-K24</f>
        <v/>
      </c>
      <c r="L45" s="29">
        <f>L44-L24</f>
        <v/>
      </c>
      <c r="M45" s="29">
        <f>M44-M24</f>
        <v/>
      </c>
      <c r="N45" s="29">
        <f>N44-N24</f>
        <v/>
      </c>
      <c r="O45" s="29">
        <f>O44-O24</f>
        <v/>
      </c>
      <c r="P45" s="29">
        <f>P44-P24</f>
        <v/>
      </c>
      <c r="Q45" s="29">
        <f>Q44-Q24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Pleiterechner: Wie viele Trockenbohrungen hält Jacob aus?</t>
        </is>
      </c>
    </row>
    <row r="2">
      <c r="A2" s="2" t="inlineStr">
        <is>
          <t>Annahme: Pechsträhne – jede Runde eine neue Parzelle pachten und bohren, alles trocken. Pachtbonus, Startgeld, Zins und freie Pachtoptionen kommen aus „Startwerte“. Bohrkosten (Zeilen) und Kreditrahmen (Spalten) sind hier frei wählbar.</t>
        </is>
      </c>
    </row>
    <row r="4">
      <c r="A4" s="21" t="inlineStr">
        <is>
          <t>Bezahlbare Trockenbohrungen, bevor Jacob pleite ist</t>
        </is>
      </c>
    </row>
    <row r="5">
      <c r="B5" s="25" t="inlineStr">
        <is>
          <t>Bohrkosten ↓ / Kreditrahmen →</t>
        </is>
      </c>
      <c r="C5" s="30" t="n">
        <v>0</v>
      </c>
      <c r="D5" s="30" t="n">
        <v>3000</v>
      </c>
      <c r="E5" s="30" t="n">
        <v>6000</v>
      </c>
      <c r="F5" s="30" t="n">
        <v>10000</v>
      </c>
    </row>
    <row r="6">
      <c r="B6" s="30" t="n">
        <v>1500</v>
      </c>
      <c r="C6" s="31">
        <f>SUMPRODUCT((B24:B39&lt;=(Startwerte!$B$5+B$23))*1)</f>
        <v/>
      </c>
      <c r="D6" s="31">
        <f>SUMPRODUCT((C24:C39&lt;=(Startwerte!$B$5+C$23))*1)</f>
        <v/>
      </c>
      <c r="E6" s="31">
        <f>SUMPRODUCT((D24:D39&lt;=(Startwerte!$B$5+D$23))*1)</f>
        <v/>
      </c>
      <c r="F6" s="31">
        <f>SUMPRODUCT((E24:E39&lt;=(Startwerte!$B$5+E$23))*1)</f>
        <v/>
      </c>
    </row>
    <row r="7">
      <c r="B7" s="30" t="n">
        <v>2000</v>
      </c>
      <c r="C7" s="31">
        <f>SUMPRODUCT((F24:F39&lt;=(Startwerte!$B$5+F$23))*1)</f>
        <v/>
      </c>
      <c r="D7" s="31">
        <f>SUMPRODUCT((G24:G39&lt;=(Startwerte!$B$5+G$23))*1)</f>
        <v/>
      </c>
      <c r="E7" s="31">
        <f>SUMPRODUCT((H24:H39&lt;=(Startwerte!$B$5+H$23))*1)</f>
        <v/>
      </c>
      <c r="F7" s="31">
        <f>SUMPRODUCT((I24:I39&lt;=(Startwerte!$B$5+I$23))*1)</f>
        <v/>
      </c>
    </row>
    <row r="8">
      <c r="B8" s="30" t="n">
        <v>2500</v>
      </c>
      <c r="C8" s="31">
        <f>SUMPRODUCT((J24:J39&lt;=(Startwerte!$B$5+J$23))*1)</f>
        <v/>
      </c>
      <c r="D8" s="31">
        <f>SUMPRODUCT((K24:K39&lt;=(Startwerte!$B$5+K$23))*1)</f>
        <v/>
      </c>
      <c r="E8" s="31">
        <f>SUMPRODUCT((L24:L39&lt;=(Startwerte!$B$5+L$23))*1)</f>
        <v/>
      </c>
      <c r="F8" s="31">
        <f>SUMPRODUCT((M24:M39&lt;=(Startwerte!$B$5+M$23))*1)</f>
        <v/>
      </c>
    </row>
    <row r="9">
      <c r="B9" s="30" t="n">
        <v>3000</v>
      </c>
      <c r="C9" s="31">
        <f>SUMPRODUCT((N24:N39&lt;=(Startwerte!$B$5+N$23))*1)</f>
        <v/>
      </c>
      <c r="D9" s="31">
        <f>SUMPRODUCT((O24:O39&lt;=(Startwerte!$B$5+O$23))*1)</f>
        <v/>
      </c>
      <c r="E9" s="31">
        <f>SUMPRODUCT((P24:P39&lt;=(Startwerte!$B$5+P$23))*1)</f>
        <v/>
      </c>
      <c r="F9" s="31">
        <f>SUMPRODUCT((Q24:Q39&lt;=(Startwerte!$B$5+Q$23))*1)</f>
        <v/>
      </c>
    </row>
    <row r="11">
      <c r="A11" s="21" t="inlineStr">
        <is>
          <t>Wahrscheinlichkeit, mit all diesen Bohrungen kein Öl zu finden (Trefferquote aus „Startwerte“)</t>
        </is>
      </c>
    </row>
    <row r="12">
      <c r="B12" s="25" t="inlineStr">
        <is>
          <t>Bohrkosten ↓ / Kreditrahmen →</t>
        </is>
      </c>
      <c r="C12" s="32">
        <f>C5</f>
        <v/>
      </c>
      <c r="D12" s="32">
        <f>D5</f>
        <v/>
      </c>
      <c r="E12" s="32">
        <f>E5</f>
        <v/>
      </c>
      <c r="F12" s="32">
        <f>F5</f>
        <v/>
      </c>
    </row>
    <row r="13">
      <c r="B13" s="32">
        <f>B6</f>
        <v/>
      </c>
      <c r="C13" s="33">
        <f>(1-Startwerte!$B$20)^C6</f>
        <v/>
      </c>
      <c r="D13" s="33">
        <f>(1-Startwerte!$B$20)^D6</f>
        <v/>
      </c>
      <c r="E13" s="33">
        <f>(1-Startwerte!$B$20)^E6</f>
        <v/>
      </c>
      <c r="F13" s="33">
        <f>(1-Startwerte!$B$20)^F6</f>
        <v/>
      </c>
    </row>
    <row r="14">
      <c r="B14" s="32">
        <f>B7</f>
        <v/>
      </c>
      <c r="C14" s="33">
        <f>(1-Startwerte!$B$20)^C7</f>
        <v/>
      </c>
      <c r="D14" s="33">
        <f>(1-Startwerte!$B$20)^D7</f>
        <v/>
      </c>
      <c r="E14" s="33">
        <f>(1-Startwerte!$B$20)^E7</f>
        <v/>
      </c>
      <c r="F14" s="33">
        <f>(1-Startwerte!$B$20)^F7</f>
        <v/>
      </c>
    </row>
    <row r="15">
      <c r="B15" s="32">
        <f>B8</f>
        <v/>
      </c>
      <c r="C15" s="33">
        <f>(1-Startwerte!$B$20)^C8</f>
        <v/>
      </c>
      <c r="D15" s="33">
        <f>(1-Startwerte!$B$20)^D8</f>
        <v/>
      </c>
      <c r="E15" s="33">
        <f>(1-Startwerte!$B$20)^E8</f>
        <v/>
      </c>
      <c r="F15" s="33">
        <f>(1-Startwerte!$B$20)^F8</f>
        <v/>
      </c>
    </row>
    <row r="16">
      <c r="B16" s="32">
        <f>B9</f>
        <v/>
      </c>
      <c r="C16" s="33">
        <f>(1-Startwerte!$B$20)^C9</f>
        <v/>
      </c>
      <c r="D16" s="33">
        <f>(1-Startwerte!$B$20)^D9</f>
        <v/>
      </c>
      <c r="E16" s="33">
        <f>(1-Startwerte!$B$20)^E9</f>
        <v/>
      </c>
      <c r="F16" s="33">
        <f>(1-Startwerte!$B$20)^F9</f>
        <v/>
      </c>
    </row>
    <row r="18">
      <c r="A18" s="2" t="inlineStr">
        <is>
          <t>Lesart: Bei 2.000 $ Bohrkosten und 3.000 $ Kredit kann Jacob 2 Trockenbohrungen bezahlen; die dritte nicht mehr. Ein Fund rettet ihn nicht sicher – eine „Tasche“ (45 % aller Funde) hat nur 20.000 bbl.</t>
        </is>
      </c>
    </row>
    <row r="21">
      <c r="A21" s="21" t="inlineStr">
        <is>
          <t>Hilfsrechnung: kumulierte Ausgaben (Bohrung + Pacht + Zinsen) je Szenario</t>
        </is>
      </c>
    </row>
    <row r="22">
      <c r="A22" s="21" t="inlineStr">
        <is>
          <t>Bohrkosten</t>
        </is>
      </c>
      <c r="B22" s="34">
        <f>$B$6</f>
        <v/>
      </c>
      <c r="C22" s="34">
        <f>$B$6</f>
        <v/>
      </c>
      <c r="D22" s="34">
        <f>$B$6</f>
        <v/>
      </c>
      <c r="E22" s="34">
        <f>$B$6</f>
        <v/>
      </c>
      <c r="F22" s="34">
        <f>$B$7</f>
        <v/>
      </c>
      <c r="G22" s="34">
        <f>$B$7</f>
        <v/>
      </c>
      <c r="H22" s="34">
        <f>$B$7</f>
        <v/>
      </c>
      <c r="I22" s="34">
        <f>$B$7</f>
        <v/>
      </c>
      <c r="J22" s="34">
        <f>$B$8</f>
        <v/>
      </c>
      <c r="K22" s="34">
        <f>$B$8</f>
        <v/>
      </c>
      <c r="L22" s="34">
        <f>$B$8</f>
        <v/>
      </c>
      <c r="M22" s="34">
        <f>$B$8</f>
        <v/>
      </c>
      <c r="N22" s="34">
        <f>$B$9</f>
        <v/>
      </c>
      <c r="O22" s="34">
        <f>$B$9</f>
        <v/>
      </c>
      <c r="P22" s="34">
        <f>$B$9</f>
        <v/>
      </c>
      <c r="Q22" s="34">
        <f>$B$9</f>
        <v/>
      </c>
    </row>
    <row r="23">
      <c r="A23" s="21" t="inlineStr">
        <is>
          <t>Kreditrahmen</t>
        </is>
      </c>
      <c r="B23" s="34">
        <f>$C$5</f>
        <v/>
      </c>
      <c r="C23" s="34">
        <f>$D$5</f>
        <v/>
      </c>
      <c r="D23" s="34">
        <f>$E$5</f>
        <v/>
      </c>
      <c r="E23" s="34">
        <f>$F$5</f>
        <v/>
      </c>
      <c r="F23" s="34">
        <f>$C$5</f>
        <v/>
      </c>
      <c r="G23" s="34">
        <f>$D$5</f>
        <v/>
      </c>
      <c r="H23" s="34">
        <f>$E$5</f>
        <v/>
      </c>
      <c r="I23" s="34">
        <f>$F$5</f>
        <v/>
      </c>
      <c r="J23" s="34">
        <f>$C$5</f>
        <v/>
      </c>
      <c r="K23" s="34">
        <f>$D$5</f>
        <v/>
      </c>
      <c r="L23" s="34">
        <f>$E$5</f>
        <v/>
      </c>
      <c r="M23" s="34">
        <f>$F$5</f>
        <v/>
      </c>
      <c r="N23" s="34">
        <f>$C$5</f>
        <v/>
      </c>
      <c r="O23" s="34">
        <f>$D$5</f>
        <v/>
      </c>
      <c r="P23" s="34">
        <f>$E$5</f>
        <v/>
      </c>
      <c r="Q23" s="34">
        <f>$F$5</f>
        <v/>
      </c>
    </row>
    <row r="24">
      <c r="A24" s="21" t="n">
        <v>1</v>
      </c>
      <c r="B24" s="34">
        <f>B$22+IF($A24&gt;Startwerte!$B$8,Startwerte!$B$7,0)</f>
        <v/>
      </c>
      <c r="C24" s="34">
        <f>C$22+IF($A24&gt;Startwerte!$B$8,Startwerte!$B$7,0)</f>
        <v/>
      </c>
      <c r="D24" s="34">
        <f>D$22+IF($A24&gt;Startwerte!$B$8,Startwerte!$B$7,0)</f>
        <v/>
      </c>
      <c r="E24" s="34">
        <f>E$22+IF($A24&gt;Startwerte!$B$8,Startwerte!$B$7,0)</f>
        <v/>
      </c>
      <c r="F24" s="34">
        <f>F$22+IF($A24&gt;Startwerte!$B$8,Startwerte!$B$7,0)</f>
        <v/>
      </c>
      <c r="G24" s="34">
        <f>G$22+IF($A24&gt;Startwerte!$B$8,Startwerte!$B$7,0)</f>
        <v/>
      </c>
      <c r="H24" s="34">
        <f>H$22+IF($A24&gt;Startwerte!$B$8,Startwerte!$B$7,0)</f>
        <v/>
      </c>
      <c r="I24" s="34">
        <f>I$22+IF($A24&gt;Startwerte!$B$8,Startwerte!$B$7,0)</f>
        <v/>
      </c>
      <c r="J24" s="34">
        <f>J$22+IF($A24&gt;Startwerte!$B$8,Startwerte!$B$7,0)</f>
        <v/>
      </c>
      <c r="K24" s="34">
        <f>K$22+IF($A24&gt;Startwerte!$B$8,Startwerte!$B$7,0)</f>
        <v/>
      </c>
      <c r="L24" s="34">
        <f>L$22+IF($A24&gt;Startwerte!$B$8,Startwerte!$B$7,0)</f>
        <v/>
      </c>
      <c r="M24" s="34">
        <f>M$22+IF($A24&gt;Startwerte!$B$8,Startwerte!$B$7,0)</f>
        <v/>
      </c>
      <c r="N24" s="34">
        <f>N$22+IF($A24&gt;Startwerte!$B$8,Startwerte!$B$7,0)</f>
        <v/>
      </c>
      <c r="O24" s="34">
        <f>O$22+IF($A24&gt;Startwerte!$B$8,Startwerte!$B$7,0)</f>
        <v/>
      </c>
      <c r="P24" s="34">
        <f>P$22+IF($A24&gt;Startwerte!$B$8,Startwerte!$B$7,0)</f>
        <v/>
      </c>
      <c r="Q24" s="34">
        <f>Q$22+IF($A24&gt;Startwerte!$B$8,Startwerte!$B$7,0)</f>
        <v/>
      </c>
    </row>
    <row r="25">
      <c r="A25" s="21" t="n">
        <v>2</v>
      </c>
      <c r="B25" s="34">
        <f>B24+B$22+IF($A25&gt;Startwerte!$B$8,Startwerte!$B$7,0)+MAX(0,B24-Startwerte!$B$5)*Startwerte!$B$18/4</f>
        <v/>
      </c>
      <c r="C25" s="34">
        <f>C24+C$22+IF($A25&gt;Startwerte!$B$8,Startwerte!$B$7,0)+MAX(0,C24-Startwerte!$B$5)*Startwerte!$B$18/4</f>
        <v/>
      </c>
      <c r="D25" s="34">
        <f>D24+D$22+IF($A25&gt;Startwerte!$B$8,Startwerte!$B$7,0)+MAX(0,D24-Startwerte!$B$5)*Startwerte!$B$18/4</f>
        <v/>
      </c>
      <c r="E25" s="34">
        <f>E24+E$22+IF($A25&gt;Startwerte!$B$8,Startwerte!$B$7,0)+MAX(0,E24-Startwerte!$B$5)*Startwerte!$B$18/4</f>
        <v/>
      </c>
      <c r="F25" s="34">
        <f>F24+F$22+IF($A25&gt;Startwerte!$B$8,Startwerte!$B$7,0)+MAX(0,F24-Startwerte!$B$5)*Startwerte!$B$18/4</f>
        <v/>
      </c>
      <c r="G25" s="34">
        <f>G24+G$22+IF($A25&gt;Startwerte!$B$8,Startwerte!$B$7,0)+MAX(0,G24-Startwerte!$B$5)*Startwerte!$B$18/4</f>
        <v/>
      </c>
      <c r="H25" s="34">
        <f>H24+H$22+IF($A25&gt;Startwerte!$B$8,Startwerte!$B$7,0)+MAX(0,H24-Startwerte!$B$5)*Startwerte!$B$18/4</f>
        <v/>
      </c>
      <c r="I25" s="34">
        <f>I24+I$22+IF($A25&gt;Startwerte!$B$8,Startwerte!$B$7,0)+MAX(0,I24-Startwerte!$B$5)*Startwerte!$B$18/4</f>
        <v/>
      </c>
      <c r="J25" s="34">
        <f>J24+J$22+IF($A25&gt;Startwerte!$B$8,Startwerte!$B$7,0)+MAX(0,J24-Startwerte!$B$5)*Startwerte!$B$18/4</f>
        <v/>
      </c>
      <c r="K25" s="34">
        <f>K24+K$22+IF($A25&gt;Startwerte!$B$8,Startwerte!$B$7,0)+MAX(0,K24-Startwerte!$B$5)*Startwerte!$B$18/4</f>
        <v/>
      </c>
      <c r="L25" s="34">
        <f>L24+L$22+IF($A25&gt;Startwerte!$B$8,Startwerte!$B$7,0)+MAX(0,L24-Startwerte!$B$5)*Startwerte!$B$18/4</f>
        <v/>
      </c>
      <c r="M25" s="34">
        <f>M24+M$22+IF($A25&gt;Startwerte!$B$8,Startwerte!$B$7,0)+MAX(0,M24-Startwerte!$B$5)*Startwerte!$B$18/4</f>
        <v/>
      </c>
      <c r="N25" s="34">
        <f>N24+N$22+IF($A25&gt;Startwerte!$B$8,Startwerte!$B$7,0)+MAX(0,N24-Startwerte!$B$5)*Startwerte!$B$18/4</f>
        <v/>
      </c>
      <c r="O25" s="34">
        <f>O24+O$22+IF($A25&gt;Startwerte!$B$8,Startwerte!$B$7,0)+MAX(0,O24-Startwerte!$B$5)*Startwerte!$B$18/4</f>
        <v/>
      </c>
      <c r="P25" s="34">
        <f>P24+P$22+IF($A25&gt;Startwerte!$B$8,Startwerte!$B$7,0)+MAX(0,P24-Startwerte!$B$5)*Startwerte!$B$18/4</f>
        <v/>
      </c>
      <c r="Q25" s="34">
        <f>Q24+Q$22+IF($A25&gt;Startwerte!$B$8,Startwerte!$B$7,0)+MAX(0,Q24-Startwerte!$B$5)*Startwerte!$B$18/4</f>
        <v/>
      </c>
    </row>
    <row r="26">
      <c r="A26" s="21" t="n">
        <v>3</v>
      </c>
      <c r="B26" s="34">
        <f>B25+B$22+IF($A26&gt;Startwerte!$B$8,Startwerte!$B$7,0)+MAX(0,B25-Startwerte!$B$5)*Startwerte!$B$18/4</f>
        <v/>
      </c>
      <c r="C26" s="34">
        <f>C25+C$22+IF($A26&gt;Startwerte!$B$8,Startwerte!$B$7,0)+MAX(0,C25-Startwerte!$B$5)*Startwerte!$B$18/4</f>
        <v/>
      </c>
      <c r="D26" s="34">
        <f>D25+D$22+IF($A26&gt;Startwerte!$B$8,Startwerte!$B$7,0)+MAX(0,D25-Startwerte!$B$5)*Startwerte!$B$18/4</f>
        <v/>
      </c>
      <c r="E26" s="34">
        <f>E25+E$22+IF($A26&gt;Startwerte!$B$8,Startwerte!$B$7,0)+MAX(0,E25-Startwerte!$B$5)*Startwerte!$B$18/4</f>
        <v/>
      </c>
      <c r="F26" s="34">
        <f>F25+F$22+IF($A26&gt;Startwerte!$B$8,Startwerte!$B$7,0)+MAX(0,F25-Startwerte!$B$5)*Startwerte!$B$18/4</f>
        <v/>
      </c>
      <c r="G26" s="34">
        <f>G25+G$22+IF($A26&gt;Startwerte!$B$8,Startwerte!$B$7,0)+MAX(0,G25-Startwerte!$B$5)*Startwerte!$B$18/4</f>
        <v/>
      </c>
      <c r="H26" s="34">
        <f>H25+H$22+IF($A26&gt;Startwerte!$B$8,Startwerte!$B$7,0)+MAX(0,H25-Startwerte!$B$5)*Startwerte!$B$18/4</f>
        <v/>
      </c>
      <c r="I26" s="34">
        <f>I25+I$22+IF($A26&gt;Startwerte!$B$8,Startwerte!$B$7,0)+MAX(0,I25-Startwerte!$B$5)*Startwerte!$B$18/4</f>
        <v/>
      </c>
      <c r="J26" s="34">
        <f>J25+J$22+IF($A26&gt;Startwerte!$B$8,Startwerte!$B$7,0)+MAX(0,J25-Startwerte!$B$5)*Startwerte!$B$18/4</f>
        <v/>
      </c>
      <c r="K26" s="34">
        <f>K25+K$22+IF($A26&gt;Startwerte!$B$8,Startwerte!$B$7,0)+MAX(0,K25-Startwerte!$B$5)*Startwerte!$B$18/4</f>
        <v/>
      </c>
      <c r="L26" s="34">
        <f>L25+L$22+IF($A26&gt;Startwerte!$B$8,Startwerte!$B$7,0)+MAX(0,L25-Startwerte!$B$5)*Startwerte!$B$18/4</f>
        <v/>
      </c>
      <c r="M26" s="34">
        <f>M25+M$22+IF($A26&gt;Startwerte!$B$8,Startwerte!$B$7,0)+MAX(0,M25-Startwerte!$B$5)*Startwerte!$B$18/4</f>
        <v/>
      </c>
      <c r="N26" s="34">
        <f>N25+N$22+IF($A26&gt;Startwerte!$B$8,Startwerte!$B$7,0)+MAX(0,N25-Startwerte!$B$5)*Startwerte!$B$18/4</f>
        <v/>
      </c>
      <c r="O26" s="34">
        <f>O25+O$22+IF($A26&gt;Startwerte!$B$8,Startwerte!$B$7,0)+MAX(0,O25-Startwerte!$B$5)*Startwerte!$B$18/4</f>
        <v/>
      </c>
      <c r="P26" s="34">
        <f>P25+P$22+IF($A26&gt;Startwerte!$B$8,Startwerte!$B$7,0)+MAX(0,P25-Startwerte!$B$5)*Startwerte!$B$18/4</f>
        <v/>
      </c>
      <c r="Q26" s="34">
        <f>Q25+Q$22+IF($A26&gt;Startwerte!$B$8,Startwerte!$B$7,0)+MAX(0,Q25-Startwerte!$B$5)*Startwerte!$B$18/4</f>
        <v/>
      </c>
    </row>
    <row r="27">
      <c r="A27" s="21" t="n">
        <v>4</v>
      </c>
      <c r="B27" s="34">
        <f>B26+B$22+IF($A27&gt;Startwerte!$B$8,Startwerte!$B$7,0)+MAX(0,B26-Startwerte!$B$5)*Startwerte!$B$18/4</f>
        <v/>
      </c>
      <c r="C27" s="34">
        <f>C26+C$22+IF($A27&gt;Startwerte!$B$8,Startwerte!$B$7,0)+MAX(0,C26-Startwerte!$B$5)*Startwerte!$B$18/4</f>
        <v/>
      </c>
      <c r="D27" s="34">
        <f>D26+D$22+IF($A27&gt;Startwerte!$B$8,Startwerte!$B$7,0)+MAX(0,D26-Startwerte!$B$5)*Startwerte!$B$18/4</f>
        <v/>
      </c>
      <c r="E27" s="34">
        <f>E26+E$22+IF($A27&gt;Startwerte!$B$8,Startwerte!$B$7,0)+MAX(0,E26-Startwerte!$B$5)*Startwerte!$B$18/4</f>
        <v/>
      </c>
      <c r="F27" s="34">
        <f>F26+F$22+IF($A27&gt;Startwerte!$B$8,Startwerte!$B$7,0)+MAX(0,F26-Startwerte!$B$5)*Startwerte!$B$18/4</f>
        <v/>
      </c>
      <c r="G27" s="34">
        <f>G26+G$22+IF($A27&gt;Startwerte!$B$8,Startwerte!$B$7,0)+MAX(0,G26-Startwerte!$B$5)*Startwerte!$B$18/4</f>
        <v/>
      </c>
      <c r="H27" s="34">
        <f>H26+H$22+IF($A27&gt;Startwerte!$B$8,Startwerte!$B$7,0)+MAX(0,H26-Startwerte!$B$5)*Startwerte!$B$18/4</f>
        <v/>
      </c>
      <c r="I27" s="34">
        <f>I26+I$22+IF($A27&gt;Startwerte!$B$8,Startwerte!$B$7,0)+MAX(0,I26-Startwerte!$B$5)*Startwerte!$B$18/4</f>
        <v/>
      </c>
      <c r="J27" s="34">
        <f>J26+J$22+IF($A27&gt;Startwerte!$B$8,Startwerte!$B$7,0)+MAX(0,J26-Startwerte!$B$5)*Startwerte!$B$18/4</f>
        <v/>
      </c>
      <c r="K27" s="34">
        <f>K26+K$22+IF($A27&gt;Startwerte!$B$8,Startwerte!$B$7,0)+MAX(0,K26-Startwerte!$B$5)*Startwerte!$B$18/4</f>
        <v/>
      </c>
      <c r="L27" s="34">
        <f>L26+L$22+IF($A27&gt;Startwerte!$B$8,Startwerte!$B$7,0)+MAX(0,L26-Startwerte!$B$5)*Startwerte!$B$18/4</f>
        <v/>
      </c>
      <c r="M27" s="34">
        <f>M26+M$22+IF($A27&gt;Startwerte!$B$8,Startwerte!$B$7,0)+MAX(0,M26-Startwerte!$B$5)*Startwerte!$B$18/4</f>
        <v/>
      </c>
      <c r="N27" s="34">
        <f>N26+N$22+IF($A27&gt;Startwerte!$B$8,Startwerte!$B$7,0)+MAX(0,N26-Startwerte!$B$5)*Startwerte!$B$18/4</f>
        <v/>
      </c>
      <c r="O27" s="34">
        <f>O26+O$22+IF($A27&gt;Startwerte!$B$8,Startwerte!$B$7,0)+MAX(0,O26-Startwerte!$B$5)*Startwerte!$B$18/4</f>
        <v/>
      </c>
      <c r="P27" s="34">
        <f>P26+P$22+IF($A27&gt;Startwerte!$B$8,Startwerte!$B$7,0)+MAX(0,P26-Startwerte!$B$5)*Startwerte!$B$18/4</f>
        <v/>
      </c>
      <c r="Q27" s="34">
        <f>Q26+Q$22+IF($A27&gt;Startwerte!$B$8,Startwerte!$B$7,0)+MAX(0,Q26-Startwerte!$B$5)*Startwerte!$B$18/4</f>
        <v/>
      </c>
    </row>
    <row r="28">
      <c r="A28" s="21" t="n">
        <v>5</v>
      </c>
      <c r="B28" s="34">
        <f>B27+B$22+IF($A28&gt;Startwerte!$B$8,Startwerte!$B$7,0)+MAX(0,B27-Startwerte!$B$5)*Startwerte!$B$18/4</f>
        <v/>
      </c>
      <c r="C28" s="34">
        <f>C27+C$22+IF($A28&gt;Startwerte!$B$8,Startwerte!$B$7,0)+MAX(0,C27-Startwerte!$B$5)*Startwerte!$B$18/4</f>
        <v/>
      </c>
      <c r="D28" s="34">
        <f>D27+D$22+IF($A28&gt;Startwerte!$B$8,Startwerte!$B$7,0)+MAX(0,D27-Startwerte!$B$5)*Startwerte!$B$18/4</f>
        <v/>
      </c>
      <c r="E28" s="34">
        <f>E27+E$22+IF($A28&gt;Startwerte!$B$8,Startwerte!$B$7,0)+MAX(0,E27-Startwerte!$B$5)*Startwerte!$B$18/4</f>
        <v/>
      </c>
      <c r="F28" s="34">
        <f>F27+F$22+IF($A28&gt;Startwerte!$B$8,Startwerte!$B$7,0)+MAX(0,F27-Startwerte!$B$5)*Startwerte!$B$18/4</f>
        <v/>
      </c>
      <c r="G28" s="34">
        <f>G27+G$22+IF($A28&gt;Startwerte!$B$8,Startwerte!$B$7,0)+MAX(0,G27-Startwerte!$B$5)*Startwerte!$B$18/4</f>
        <v/>
      </c>
      <c r="H28" s="34">
        <f>H27+H$22+IF($A28&gt;Startwerte!$B$8,Startwerte!$B$7,0)+MAX(0,H27-Startwerte!$B$5)*Startwerte!$B$18/4</f>
        <v/>
      </c>
      <c r="I28" s="34">
        <f>I27+I$22+IF($A28&gt;Startwerte!$B$8,Startwerte!$B$7,0)+MAX(0,I27-Startwerte!$B$5)*Startwerte!$B$18/4</f>
        <v/>
      </c>
      <c r="J28" s="34">
        <f>J27+J$22+IF($A28&gt;Startwerte!$B$8,Startwerte!$B$7,0)+MAX(0,J27-Startwerte!$B$5)*Startwerte!$B$18/4</f>
        <v/>
      </c>
      <c r="K28" s="34">
        <f>K27+K$22+IF($A28&gt;Startwerte!$B$8,Startwerte!$B$7,0)+MAX(0,K27-Startwerte!$B$5)*Startwerte!$B$18/4</f>
        <v/>
      </c>
      <c r="L28" s="34">
        <f>L27+L$22+IF($A28&gt;Startwerte!$B$8,Startwerte!$B$7,0)+MAX(0,L27-Startwerte!$B$5)*Startwerte!$B$18/4</f>
        <v/>
      </c>
      <c r="M28" s="34">
        <f>M27+M$22+IF($A28&gt;Startwerte!$B$8,Startwerte!$B$7,0)+MAX(0,M27-Startwerte!$B$5)*Startwerte!$B$18/4</f>
        <v/>
      </c>
      <c r="N28" s="34">
        <f>N27+N$22+IF($A28&gt;Startwerte!$B$8,Startwerte!$B$7,0)+MAX(0,N27-Startwerte!$B$5)*Startwerte!$B$18/4</f>
        <v/>
      </c>
      <c r="O28" s="34">
        <f>O27+O$22+IF($A28&gt;Startwerte!$B$8,Startwerte!$B$7,0)+MAX(0,O27-Startwerte!$B$5)*Startwerte!$B$18/4</f>
        <v/>
      </c>
      <c r="P28" s="34">
        <f>P27+P$22+IF($A28&gt;Startwerte!$B$8,Startwerte!$B$7,0)+MAX(0,P27-Startwerte!$B$5)*Startwerte!$B$18/4</f>
        <v/>
      </c>
      <c r="Q28" s="34">
        <f>Q27+Q$22+IF($A28&gt;Startwerte!$B$8,Startwerte!$B$7,0)+MAX(0,Q27-Startwerte!$B$5)*Startwerte!$B$18/4</f>
        <v/>
      </c>
    </row>
    <row r="29">
      <c r="A29" s="21" t="n">
        <v>6</v>
      </c>
      <c r="B29" s="34">
        <f>B28+B$22+IF($A29&gt;Startwerte!$B$8,Startwerte!$B$7,0)+MAX(0,B28-Startwerte!$B$5)*Startwerte!$B$18/4</f>
        <v/>
      </c>
      <c r="C29" s="34">
        <f>C28+C$22+IF($A29&gt;Startwerte!$B$8,Startwerte!$B$7,0)+MAX(0,C28-Startwerte!$B$5)*Startwerte!$B$18/4</f>
        <v/>
      </c>
      <c r="D29" s="34">
        <f>D28+D$22+IF($A29&gt;Startwerte!$B$8,Startwerte!$B$7,0)+MAX(0,D28-Startwerte!$B$5)*Startwerte!$B$18/4</f>
        <v/>
      </c>
      <c r="E29" s="34">
        <f>E28+E$22+IF($A29&gt;Startwerte!$B$8,Startwerte!$B$7,0)+MAX(0,E28-Startwerte!$B$5)*Startwerte!$B$18/4</f>
        <v/>
      </c>
      <c r="F29" s="34">
        <f>F28+F$22+IF($A29&gt;Startwerte!$B$8,Startwerte!$B$7,0)+MAX(0,F28-Startwerte!$B$5)*Startwerte!$B$18/4</f>
        <v/>
      </c>
      <c r="G29" s="34">
        <f>G28+G$22+IF($A29&gt;Startwerte!$B$8,Startwerte!$B$7,0)+MAX(0,G28-Startwerte!$B$5)*Startwerte!$B$18/4</f>
        <v/>
      </c>
      <c r="H29" s="34">
        <f>H28+H$22+IF($A29&gt;Startwerte!$B$8,Startwerte!$B$7,0)+MAX(0,H28-Startwerte!$B$5)*Startwerte!$B$18/4</f>
        <v/>
      </c>
      <c r="I29" s="34">
        <f>I28+I$22+IF($A29&gt;Startwerte!$B$8,Startwerte!$B$7,0)+MAX(0,I28-Startwerte!$B$5)*Startwerte!$B$18/4</f>
        <v/>
      </c>
      <c r="J29" s="34">
        <f>J28+J$22+IF($A29&gt;Startwerte!$B$8,Startwerte!$B$7,0)+MAX(0,J28-Startwerte!$B$5)*Startwerte!$B$18/4</f>
        <v/>
      </c>
      <c r="K29" s="34">
        <f>K28+K$22+IF($A29&gt;Startwerte!$B$8,Startwerte!$B$7,0)+MAX(0,K28-Startwerte!$B$5)*Startwerte!$B$18/4</f>
        <v/>
      </c>
      <c r="L29" s="34">
        <f>L28+L$22+IF($A29&gt;Startwerte!$B$8,Startwerte!$B$7,0)+MAX(0,L28-Startwerte!$B$5)*Startwerte!$B$18/4</f>
        <v/>
      </c>
      <c r="M29" s="34">
        <f>M28+M$22+IF($A29&gt;Startwerte!$B$8,Startwerte!$B$7,0)+MAX(0,M28-Startwerte!$B$5)*Startwerte!$B$18/4</f>
        <v/>
      </c>
      <c r="N29" s="34">
        <f>N28+N$22+IF($A29&gt;Startwerte!$B$8,Startwerte!$B$7,0)+MAX(0,N28-Startwerte!$B$5)*Startwerte!$B$18/4</f>
        <v/>
      </c>
      <c r="O29" s="34">
        <f>O28+O$22+IF($A29&gt;Startwerte!$B$8,Startwerte!$B$7,0)+MAX(0,O28-Startwerte!$B$5)*Startwerte!$B$18/4</f>
        <v/>
      </c>
      <c r="P29" s="34">
        <f>P28+P$22+IF($A29&gt;Startwerte!$B$8,Startwerte!$B$7,0)+MAX(0,P28-Startwerte!$B$5)*Startwerte!$B$18/4</f>
        <v/>
      </c>
      <c r="Q29" s="34">
        <f>Q28+Q$22+IF($A29&gt;Startwerte!$B$8,Startwerte!$B$7,0)+MAX(0,Q28-Startwerte!$B$5)*Startwerte!$B$18/4</f>
        <v/>
      </c>
    </row>
    <row r="30">
      <c r="A30" s="21" t="n">
        <v>7</v>
      </c>
      <c r="B30" s="34">
        <f>B29+B$22+IF($A30&gt;Startwerte!$B$8,Startwerte!$B$7,0)+MAX(0,B29-Startwerte!$B$5)*Startwerte!$B$18/4</f>
        <v/>
      </c>
      <c r="C30" s="34">
        <f>C29+C$22+IF($A30&gt;Startwerte!$B$8,Startwerte!$B$7,0)+MAX(0,C29-Startwerte!$B$5)*Startwerte!$B$18/4</f>
        <v/>
      </c>
      <c r="D30" s="34">
        <f>D29+D$22+IF($A30&gt;Startwerte!$B$8,Startwerte!$B$7,0)+MAX(0,D29-Startwerte!$B$5)*Startwerte!$B$18/4</f>
        <v/>
      </c>
      <c r="E30" s="34">
        <f>E29+E$22+IF($A30&gt;Startwerte!$B$8,Startwerte!$B$7,0)+MAX(0,E29-Startwerte!$B$5)*Startwerte!$B$18/4</f>
        <v/>
      </c>
      <c r="F30" s="34">
        <f>F29+F$22+IF($A30&gt;Startwerte!$B$8,Startwerte!$B$7,0)+MAX(0,F29-Startwerte!$B$5)*Startwerte!$B$18/4</f>
        <v/>
      </c>
      <c r="G30" s="34">
        <f>G29+G$22+IF($A30&gt;Startwerte!$B$8,Startwerte!$B$7,0)+MAX(0,G29-Startwerte!$B$5)*Startwerte!$B$18/4</f>
        <v/>
      </c>
      <c r="H30" s="34">
        <f>H29+H$22+IF($A30&gt;Startwerte!$B$8,Startwerte!$B$7,0)+MAX(0,H29-Startwerte!$B$5)*Startwerte!$B$18/4</f>
        <v/>
      </c>
      <c r="I30" s="34">
        <f>I29+I$22+IF($A30&gt;Startwerte!$B$8,Startwerte!$B$7,0)+MAX(0,I29-Startwerte!$B$5)*Startwerte!$B$18/4</f>
        <v/>
      </c>
      <c r="J30" s="34">
        <f>J29+J$22+IF($A30&gt;Startwerte!$B$8,Startwerte!$B$7,0)+MAX(0,J29-Startwerte!$B$5)*Startwerte!$B$18/4</f>
        <v/>
      </c>
      <c r="K30" s="34">
        <f>K29+K$22+IF($A30&gt;Startwerte!$B$8,Startwerte!$B$7,0)+MAX(0,K29-Startwerte!$B$5)*Startwerte!$B$18/4</f>
        <v/>
      </c>
      <c r="L30" s="34">
        <f>L29+L$22+IF($A30&gt;Startwerte!$B$8,Startwerte!$B$7,0)+MAX(0,L29-Startwerte!$B$5)*Startwerte!$B$18/4</f>
        <v/>
      </c>
      <c r="M30" s="34">
        <f>M29+M$22+IF($A30&gt;Startwerte!$B$8,Startwerte!$B$7,0)+MAX(0,M29-Startwerte!$B$5)*Startwerte!$B$18/4</f>
        <v/>
      </c>
      <c r="N30" s="34">
        <f>N29+N$22+IF($A30&gt;Startwerte!$B$8,Startwerte!$B$7,0)+MAX(0,N29-Startwerte!$B$5)*Startwerte!$B$18/4</f>
        <v/>
      </c>
      <c r="O30" s="34">
        <f>O29+O$22+IF($A30&gt;Startwerte!$B$8,Startwerte!$B$7,0)+MAX(0,O29-Startwerte!$B$5)*Startwerte!$B$18/4</f>
        <v/>
      </c>
      <c r="P30" s="34">
        <f>P29+P$22+IF($A30&gt;Startwerte!$B$8,Startwerte!$B$7,0)+MAX(0,P29-Startwerte!$B$5)*Startwerte!$B$18/4</f>
        <v/>
      </c>
      <c r="Q30" s="34">
        <f>Q29+Q$22+IF($A30&gt;Startwerte!$B$8,Startwerte!$B$7,0)+MAX(0,Q29-Startwerte!$B$5)*Startwerte!$B$18/4</f>
        <v/>
      </c>
    </row>
    <row r="31">
      <c r="A31" s="21" t="n">
        <v>8</v>
      </c>
      <c r="B31" s="34">
        <f>B30+B$22+IF($A31&gt;Startwerte!$B$8,Startwerte!$B$7,0)+MAX(0,B30-Startwerte!$B$5)*Startwerte!$B$18/4</f>
        <v/>
      </c>
      <c r="C31" s="34">
        <f>C30+C$22+IF($A31&gt;Startwerte!$B$8,Startwerte!$B$7,0)+MAX(0,C30-Startwerte!$B$5)*Startwerte!$B$18/4</f>
        <v/>
      </c>
      <c r="D31" s="34">
        <f>D30+D$22+IF($A31&gt;Startwerte!$B$8,Startwerte!$B$7,0)+MAX(0,D30-Startwerte!$B$5)*Startwerte!$B$18/4</f>
        <v/>
      </c>
      <c r="E31" s="34">
        <f>E30+E$22+IF($A31&gt;Startwerte!$B$8,Startwerte!$B$7,0)+MAX(0,E30-Startwerte!$B$5)*Startwerte!$B$18/4</f>
        <v/>
      </c>
      <c r="F31" s="34">
        <f>F30+F$22+IF($A31&gt;Startwerte!$B$8,Startwerte!$B$7,0)+MAX(0,F30-Startwerte!$B$5)*Startwerte!$B$18/4</f>
        <v/>
      </c>
      <c r="G31" s="34">
        <f>G30+G$22+IF($A31&gt;Startwerte!$B$8,Startwerte!$B$7,0)+MAX(0,G30-Startwerte!$B$5)*Startwerte!$B$18/4</f>
        <v/>
      </c>
      <c r="H31" s="34">
        <f>H30+H$22+IF($A31&gt;Startwerte!$B$8,Startwerte!$B$7,0)+MAX(0,H30-Startwerte!$B$5)*Startwerte!$B$18/4</f>
        <v/>
      </c>
      <c r="I31" s="34">
        <f>I30+I$22+IF($A31&gt;Startwerte!$B$8,Startwerte!$B$7,0)+MAX(0,I30-Startwerte!$B$5)*Startwerte!$B$18/4</f>
        <v/>
      </c>
      <c r="J31" s="34">
        <f>J30+J$22+IF($A31&gt;Startwerte!$B$8,Startwerte!$B$7,0)+MAX(0,J30-Startwerte!$B$5)*Startwerte!$B$18/4</f>
        <v/>
      </c>
      <c r="K31" s="34">
        <f>K30+K$22+IF($A31&gt;Startwerte!$B$8,Startwerte!$B$7,0)+MAX(0,K30-Startwerte!$B$5)*Startwerte!$B$18/4</f>
        <v/>
      </c>
      <c r="L31" s="34">
        <f>L30+L$22+IF($A31&gt;Startwerte!$B$8,Startwerte!$B$7,0)+MAX(0,L30-Startwerte!$B$5)*Startwerte!$B$18/4</f>
        <v/>
      </c>
      <c r="M31" s="34">
        <f>M30+M$22+IF($A31&gt;Startwerte!$B$8,Startwerte!$B$7,0)+MAX(0,M30-Startwerte!$B$5)*Startwerte!$B$18/4</f>
        <v/>
      </c>
      <c r="N31" s="34">
        <f>N30+N$22+IF($A31&gt;Startwerte!$B$8,Startwerte!$B$7,0)+MAX(0,N30-Startwerte!$B$5)*Startwerte!$B$18/4</f>
        <v/>
      </c>
      <c r="O31" s="34">
        <f>O30+O$22+IF($A31&gt;Startwerte!$B$8,Startwerte!$B$7,0)+MAX(0,O30-Startwerte!$B$5)*Startwerte!$B$18/4</f>
        <v/>
      </c>
      <c r="P31" s="34">
        <f>P30+P$22+IF($A31&gt;Startwerte!$B$8,Startwerte!$B$7,0)+MAX(0,P30-Startwerte!$B$5)*Startwerte!$B$18/4</f>
        <v/>
      </c>
      <c r="Q31" s="34">
        <f>Q30+Q$22+IF($A31&gt;Startwerte!$B$8,Startwerte!$B$7,0)+MAX(0,Q30-Startwerte!$B$5)*Startwerte!$B$18/4</f>
        <v/>
      </c>
    </row>
    <row r="32">
      <c r="A32" s="21" t="n">
        <v>9</v>
      </c>
      <c r="B32" s="34">
        <f>B31+B$22+IF($A32&gt;Startwerte!$B$8,Startwerte!$B$7,0)+MAX(0,B31-Startwerte!$B$5)*Startwerte!$B$18/4</f>
        <v/>
      </c>
      <c r="C32" s="34">
        <f>C31+C$22+IF($A32&gt;Startwerte!$B$8,Startwerte!$B$7,0)+MAX(0,C31-Startwerte!$B$5)*Startwerte!$B$18/4</f>
        <v/>
      </c>
      <c r="D32" s="34">
        <f>D31+D$22+IF($A32&gt;Startwerte!$B$8,Startwerte!$B$7,0)+MAX(0,D31-Startwerte!$B$5)*Startwerte!$B$18/4</f>
        <v/>
      </c>
      <c r="E32" s="34">
        <f>E31+E$22+IF($A32&gt;Startwerte!$B$8,Startwerte!$B$7,0)+MAX(0,E31-Startwerte!$B$5)*Startwerte!$B$18/4</f>
        <v/>
      </c>
      <c r="F32" s="34">
        <f>F31+F$22+IF($A32&gt;Startwerte!$B$8,Startwerte!$B$7,0)+MAX(0,F31-Startwerte!$B$5)*Startwerte!$B$18/4</f>
        <v/>
      </c>
      <c r="G32" s="34">
        <f>G31+G$22+IF($A32&gt;Startwerte!$B$8,Startwerte!$B$7,0)+MAX(0,G31-Startwerte!$B$5)*Startwerte!$B$18/4</f>
        <v/>
      </c>
      <c r="H32" s="34">
        <f>H31+H$22+IF($A32&gt;Startwerte!$B$8,Startwerte!$B$7,0)+MAX(0,H31-Startwerte!$B$5)*Startwerte!$B$18/4</f>
        <v/>
      </c>
      <c r="I32" s="34">
        <f>I31+I$22+IF($A32&gt;Startwerte!$B$8,Startwerte!$B$7,0)+MAX(0,I31-Startwerte!$B$5)*Startwerte!$B$18/4</f>
        <v/>
      </c>
      <c r="J32" s="34">
        <f>J31+J$22+IF($A32&gt;Startwerte!$B$8,Startwerte!$B$7,0)+MAX(0,J31-Startwerte!$B$5)*Startwerte!$B$18/4</f>
        <v/>
      </c>
      <c r="K32" s="34">
        <f>K31+K$22+IF($A32&gt;Startwerte!$B$8,Startwerte!$B$7,0)+MAX(0,K31-Startwerte!$B$5)*Startwerte!$B$18/4</f>
        <v/>
      </c>
      <c r="L32" s="34">
        <f>L31+L$22+IF($A32&gt;Startwerte!$B$8,Startwerte!$B$7,0)+MAX(0,L31-Startwerte!$B$5)*Startwerte!$B$18/4</f>
        <v/>
      </c>
      <c r="M32" s="34">
        <f>M31+M$22+IF($A32&gt;Startwerte!$B$8,Startwerte!$B$7,0)+MAX(0,M31-Startwerte!$B$5)*Startwerte!$B$18/4</f>
        <v/>
      </c>
      <c r="N32" s="34">
        <f>N31+N$22+IF($A32&gt;Startwerte!$B$8,Startwerte!$B$7,0)+MAX(0,N31-Startwerte!$B$5)*Startwerte!$B$18/4</f>
        <v/>
      </c>
      <c r="O32" s="34">
        <f>O31+O$22+IF($A32&gt;Startwerte!$B$8,Startwerte!$B$7,0)+MAX(0,O31-Startwerte!$B$5)*Startwerte!$B$18/4</f>
        <v/>
      </c>
      <c r="P32" s="34">
        <f>P31+P$22+IF($A32&gt;Startwerte!$B$8,Startwerte!$B$7,0)+MAX(0,P31-Startwerte!$B$5)*Startwerte!$B$18/4</f>
        <v/>
      </c>
      <c r="Q32" s="34">
        <f>Q31+Q$22+IF($A32&gt;Startwerte!$B$8,Startwerte!$B$7,0)+MAX(0,Q31-Startwerte!$B$5)*Startwerte!$B$18/4</f>
        <v/>
      </c>
    </row>
    <row r="33">
      <c r="A33" s="21" t="n">
        <v>10</v>
      </c>
      <c r="B33" s="34">
        <f>B32+B$22+IF($A33&gt;Startwerte!$B$8,Startwerte!$B$7,0)+MAX(0,B32-Startwerte!$B$5)*Startwerte!$B$18/4</f>
        <v/>
      </c>
      <c r="C33" s="34">
        <f>C32+C$22+IF($A33&gt;Startwerte!$B$8,Startwerte!$B$7,0)+MAX(0,C32-Startwerte!$B$5)*Startwerte!$B$18/4</f>
        <v/>
      </c>
      <c r="D33" s="34">
        <f>D32+D$22+IF($A33&gt;Startwerte!$B$8,Startwerte!$B$7,0)+MAX(0,D32-Startwerte!$B$5)*Startwerte!$B$18/4</f>
        <v/>
      </c>
      <c r="E33" s="34">
        <f>E32+E$22+IF($A33&gt;Startwerte!$B$8,Startwerte!$B$7,0)+MAX(0,E32-Startwerte!$B$5)*Startwerte!$B$18/4</f>
        <v/>
      </c>
      <c r="F33" s="34">
        <f>F32+F$22+IF($A33&gt;Startwerte!$B$8,Startwerte!$B$7,0)+MAX(0,F32-Startwerte!$B$5)*Startwerte!$B$18/4</f>
        <v/>
      </c>
      <c r="G33" s="34">
        <f>G32+G$22+IF($A33&gt;Startwerte!$B$8,Startwerte!$B$7,0)+MAX(0,G32-Startwerte!$B$5)*Startwerte!$B$18/4</f>
        <v/>
      </c>
      <c r="H33" s="34">
        <f>H32+H$22+IF($A33&gt;Startwerte!$B$8,Startwerte!$B$7,0)+MAX(0,H32-Startwerte!$B$5)*Startwerte!$B$18/4</f>
        <v/>
      </c>
      <c r="I33" s="34">
        <f>I32+I$22+IF($A33&gt;Startwerte!$B$8,Startwerte!$B$7,0)+MAX(0,I32-Startwerte!$B$5)*Startwerte!$B$18/4</f>
        <v/>
      </c>
      <c r="J33" s="34">
        <f>J32+J$22+IF($A33&gt;Startwerte!$B$8,Startwerte!$B$7,0)+MAX(0,J32-Startwerte!$B$5)*Startwerte!$B$18/4</f>
        <v/>
      </c>
      <c r="K33" s="34">
        <f>K32+K$22+IF($A33&gt;Startwerte!$B$8,Startwerte!$B$7,0)+MAX(0,K32-Startwerte!$B$5)*Startwerte!$B$18/4</f>
        <v/>
      </c>
      <c r="L33" s="34">
        <f>L32+L$22+IF($A33&gt;Startwerte!$B$8,Startwerte!$B$7,0)+MAX(0,L32-Startwerte!$B$5)*Startwerte!$B$18/4</f>
        <v/>
      </c>
      <c r="M33" s="34">
        <f>M32+M$22+IF($A33&gt;Startwerte!$B$8,Startwerte!$B$7,0)+MAX(0,M32-Startwerte!$B$5)*Startwerte!$B$18/4</f>
        <v/>
      </c>
      <c r="N33" s="34">
        <f>N32+N$22+IF($A33&gt;Startwerte!$B$8,Startwerte!$B$7,0)+MAX(0,N32-Startwerte!$B$5)*Startwerte!$B$18/4</f>
        <v/>
      </c>
      <c r="O33" s="34">
        <f>O32+O$22+IF($A33&gt;Startwerte!$B$8,Startwerte!$B$7,0)+MAX(0,O32-Startwerte!$B$5)*Startwerte!$B$18/4</f>
        <v/>
      </c>
      <c r="P33" s="34">
        <f>P32+P$22+IF($A33&gt;Startwerte!$B$8,Startwerte!$B$7,0)+MAX(0,P32-Startwerte!$B$5)*Startwerte!$B$18/4</f>
        <v/>
      </c>
      <c r="Q33" s="34">
        <f>Q32+Q$22+IF($A33&gt;Startwerte!$B$8,Startwerte!$B$7,0)+MAX(0,Q32-Startwerte!$B$5)*Startwerte!$B$18/4</f>
        <v/>
      </c>
    </row>
    <row r="34">
      <c r="A34" s="21" t="n">
        <v>11</v>
      </c>
      <c r="B34" s="34">
        <f>B33+B$22+IF($A34&gt;Startwerte!$B$8,Startwerte!$B$7,0)+MAX(0,B33-Startwerte!$B$5)*Startwerte!$B$18/4</f>
        <v/>
      </c>
      <c r="C34" s="34">
        <f>C33+C$22+IF($A34&gt;Startwerte!$B$8,Startwerte!$B$7,0)+MAX(0,C33-Startwerte!$B$5)*Startwerte!$B$18/4</f>
        <v/>
      </c>
      <c r="D34" s="34">
        <f>D33+D$22+IF($A34&gt;Startwerte!$B$8,Startwerte!$B$7,0)+MAX(0,D33-Startwerte!$B$5)*Startwerte!$B$18/4</f>
        <v/>
      </c>
      <c r="E34" s="34">
        <f>E33+E$22+IF($A34&gt;Startwerte!$B$8,Startwerte!$B$7,0)+MAX(0,E33-Startwerte!$B$5)*Startwerte!$B$18/4</f>
        <v/>
      </c>
      <c r="F34" s="34">
        <f>F33+F$22+IF($A34&gt;Startwerte!$B$8,Startwerte!$B$7,0)+MAX(0,F33-Startwerte!$B$5)*Startwerte!$B$18/4</f>
        <v/>
      </c>
      <c r="G34" s="34">
        <f>G33+G$22+IF($A34&gt;Startwerte!$B$8,Startwerte!$B$7,0)+MAX(0,G33-Startwerte!$B$5)*Startwerte!$B$18/4</f>
        <v/>
      </c>
      <c r="H34" s="34">
        <f>H33+H$22+IF($A34&gt;Startwerte!$B$8,Startwerte!$B$7,0)+MAX(0,H33-Startwerte!$B$5)*Startwerte!$B$18/4</f>
        <v/>
      </c>
      <c r="I34" s="34">
        <f>I33+I$22+IF($A34&gt;Startwerte!$B$8,Startwerte!$B$7,0)+MAX(0,I33-Startwerte!$B$5)*Startwerte!$B$18/4</f>
        <v/>
      </c>
      <c r="J34" s="34">
        <f>J33+J$22+IF($A34&gt;Startwerte!$B$8,Startwerte!$B$7,0)+MAX(0,J33-Startwerte!$B$5)*Startwerte!$B$18/4</f>
        <v/>
      </c>
      <c r="K34" s="34">
        <f>K33+K$22+IF($A34&gt;Startwerte!$B$8,Startwerte!$B$7,0)+MAX(0,K33-Startwerte!$B$5)*Startwerte!$B$18/4</f>
        <v/>
      </c>
      <c r="L34" s="34">
        <f>L33+L$22+IF($A34&gt;Startwerte!$B$8,Startwerte!$B$7,0)+MAX(0,L33-Startwerte!$B$5)*Startwerte!$B$18/4</f>
        <v/>
      </c>
      <c r="M34" s="34">
        <f>M33+M$22+IF($A34&gt;Startwerte!$B$8,Startwerte!$B$7,0)+MAX(0,M33-Startwerte!$B$5)*Startwerte!$B$18/4</f>
        <v/>
      </c>
      <c r="N34" s="34">
        <f>N33+N$22+IF($A34&gt;Startwerte!$B$8,Startwerte!$B$7,0)+MAX(0,N33-Startwerte!$B$5)*Startwerte!$B$18/4</f>
        <v/>
      </c>
      <c r="O34" s="34">
        <f>O33+O$22+IF($A34&gt;Startwerte!$B$8,Startwerte!$B$7,0)+MAX(0,O33-Startwerte!$B$5)*Startwerte!$B$18/4</f>
        <v/>
      </c>
      <c r="P34" s="34">
        <f>P33+P$22+IF($A34&gt;Startwerte!$B$8,Startwerte!$B$7,0)+MAX(0,P33-Startwerte!$B$5)*Startwerte!$B$18/4</f>
        <v/>
      </c>
      <c r="Q34" s="34">
        <f>Q33+Q$22+IF($A34&gt;Startwerte!$B$8,Startwerte!$B$7,0)+MAX(0,Q33-Startwerte!$B$5)*Startwerte!$B$18/4</f>
        <v/>
      </c>
    </row>
    <row r="35">
      <c r="A35" s="21" t="n">
        <v>12</v>
      </c>
      <c r="B35" s="34">
        <f>B34+B$22+IF($A35&gt;Startwerte!$B$8,Startwerte!$B$7,0)+MAX(0,B34-Startwerte!$B$5)*Startwerte!$B$18/4</f>
        <v/>
      </c>
      <c r="C35" s="34">
        <f>C34+C$22+IF($A35&gt;Startwerte!$B$8,Startwerte!$B$7,0)+MAX(0,C34-Startwerte!$B$5)*Startwerte!$B$18/4</f>
        <v/>
      </c>
      <c r="D35" s="34">
        <f>D34+D$22+IF($A35&gt;Startwerte!$B$8,Startwerte!$B$7,0)+MAX(0,D34-Startwerte!$B$5)*Startwerte!$B$18/4</f>
        <v/>
      </c>
      <c r="E35" s="34">
        <f>E34+E$22+IF($A35&gt;Startwerte!$B$8,Startwerte!$B$7,0)+MAX(0,E34-Startwerte!$B$5)*Startwerte!$B$18/4</f>
        <v/>
      </c>
      <c r="F35" s="34">
        <f>F34+F$22+IF($A35&gt;Startwerte!$B$8,Startwerte!$B$7,0)+MAX(0,F34-Startwerte!$B$5)*Startwerte!$B$18/4</f>
        <v/>
      </c>
      <c r="G35" s="34">
        <f>G34+G$22+IF($A35&gt;Startwerte!$B$8,Startwerte!$B$7,0)+MAX(0,G34-Startwerte!$B$5)*Startwerte!$B$18/4</f>
        <v/>
      </c>
      <c r="H35" s="34">
        <f>H34+H$22+IF($A35&gt;Startwerte!$B$8,Startwerte!$B$7,0)+MAX(0,H34-Startwerte!$B$5)*Startwerte!$B$18/4</f>
        <v/>
      </c>
      <c r="I35" s="34">
        <f>I34+I$22+IF($A35&gt;Startwerte!$B$8,Startwerte!$B$7,0)+MAX(0,I34-Startwerte!$B$5)*Startwerte!$B$18/4</f>
        <v/>
      </c>
      <c r="J35" s="34">
        <f>J34+J$22+IF($A35&gt;Startwerte!$B$8,Startwerte!$B$7,0)+MAX(0,J34-Startwerte!$B$5)*Startwerte!$B$18/4</f>
        <v/>
      </c>
      <c r="K35" s="34">
        <f>K34+K$22+IF($A35&gt;Startwerte!$B$8,Startwerte!$B$7,0)+MAX(0,K34-Startwerte!$B$5)*Startwerte!$B$18/4</f>
        <v/>
      </c>
      <c r="L35" s="34">
        <f>L34+L$22+IF($A35&gt;Startwerte!$B$8,Startwerte!$B$7,0)+MAX(0,L34-Startwerte!$B$5)*Startwerte!$B$18/4</f>
        <v/>
      </c>
      <c r="M35" s="34">
        <f>M34+M$22+IF($A35&gt;Startwerte!$B$8,Startwerte!$B$7,0)+MAX(0,M34-Startwerte!$B$5)*Startwerte!$B$18/4</f>
        <v/>
      </c>
      <c r="N35" s="34">
        <f>N34+N$22+IF($A35&gt;Startwerte!$B$8,Startwerte!$B$7,0)+MAX(0,N34-Startwerte!$B$5)*Startwerte!$B$18/4</f>
        <v/>
      </c>
      <c r="O35" s="34">
        <f>O34+O$22+IF($A35&gt;Startwerte!$B$8,Startwerte!$B$7,0)+MAX(0,O34-Startwerte!$B$5)*Startwerte!$B$18/4</f>
        <v/>
      </c>
      <c r="P35" s="34">
        <f>P34+P$22+IF($A35&gt;Startwerte!$B$8,Startwerte!$B$7,0)+MAX(0,P34-Startwerte!$B$5)*Startwerte!$B$18/4</f>
        <v/>
      </c>
      <c r="Q35" s="34">
        <f>Q34+Q$22+IF($A35&gt;Startwerte!$B$8,Startwerte!$B$7,0)+MAX(0,Q34-Startwerte!$B$5)*Startwerte!$B$18/4</f>
        <v/>
      </c>
    </row>
    <row r="36">
      <c r="A36" s="21" t="n">
        <v>13</v>
      </c>
      <c r="B36" s="34">
        <f>B35+B$22+IF($A36&gt;Startwerte!$B$8,Startwerte!$B$7,0)+MAX(0,B35-Startwerte!$B$5)*Startwerte!$B$18/4</f>
        <v/>
      </c>
      <c r="C36" s="34">
        <f>C35+C$22+IF($A36&gt;Startwerte!$B$8,Startwerte!$B$7,0)+MAX(0,C35-Startwerte!$B$5)*Startwerte!$B$18/4</f>
        <v/>
      </c>
      <c r="D36" s="34">
        <f>D35+D$22+IF($A36&gt;Startwerte!$B$8,Startwerte!$B$7,0)+MAX(0,D35-Startwerte!$B$5)*Startwerte!$B$18/4</f>
        <v/>
      </c>
      <c r="E36" s="34">
        <f>E35+E$22+IF($A36&gt;Startwerte!$B$8,Startwerte!$B$7,0)+MAX(0,E35-Startwerte!$B$5)*Startwerte!$B$18/4</f>
        <v/>
      </c>
      <c r="F36" s="34">
        <f>F35+F$22+IF($A36&gt;Startwerte!$B$8,Startwerte!$B$7,0)+MAX(0,F35-Startwerte!$B$5)*Startwerte!$B$18/4</f>
        <v/>
      </c>
      <c r="G36" s="34">
        <f>G35+G$22+IF($A36&gt;Startwerte!$B$8,Startwerte!$B$7,0)+MAX(0,G35-Startwerte!$B$5)*Startwerte!$B$18/4</f>
        <v/>
      </c>
      <c r="H36" s="34">
        <f>H35+H$22+IF($A36&gt;Startwerte!$B$8,Startwerte!$B$7,0)+MAX(0,H35-Startwerte!$B$5)*Startwerte!$B$18/4</f>
        <v/>
      </c>
      <c r="I36" s="34">
        <f>I35+I$22+IF($A36&gt;Startwerte!$B$8,Startwerte!$B$7,0)+MAX(0,I35-Startwerte!$B$5)*Startwerte!$B$18/4</f>
        <v/>
      </c>
      <c r="J36" s="34">
        <f>J35+J$22+IF($A36&gt;Startwerte!$B$8,Startwerte!$B$7,0)+MAX(0,J35-Startwerte!$B$5)*Startwerte!$B$18/4</f>
        <v/>
      </c>
      <c r="K36" s="34">
        <f>K35+K$22+IF($A36&gt;Startwerte!$B$8,Startwerte!$B$7,0)+MAX(0,K35-Startwerte!$B$5)*Startwerte!$B$18/4</f>
        <v/>
      </c>
      <c r="L36" s="34">
        <f>L35+L$22+IF($A36&gt;Startwerte!$B$8,Startwerte!$B$7,0)+MAX(0,L35-Startwerte!$B$5)*Startwerte!$B$18/4</f>
        <v/>
      </c>
      <c r="M36" s="34">
        <f>M35+M$22+IF($A36&gt;Startwerte!$B$8,Startwerte!$B$7,0)+MAX(0,M35-Startwerte!$B$5)*Startwerte!$B$18/4</f>
        <v/>
      </c>
      <c r="N36" s="34">
        <f>N35+N$22+IF($A36&gt;Startwerte!$B$8,Startwerte!$B$7,0)+MAX(0,N35-Startwerte!$B$5)*Startwerte!$B$18/4</f>
        <v/>
      </c>
      <c r="O36" s="34">
        <f>O35+O$22+IF($A36&gt;Startwerte!$B$8,Startwerte!$B$7,0)+MAX(0,O35-Startwerte!$B$5)*Startwerte!$B$18/4</f>
        <v/>
      </c>
      <c r="P36" s="34">
        <f>P35+P$22+IF($A36&gt;Startwerte!$B$8,Startwerte!$B$7,0)+MAX(0,P35-Startwerte!$B$5)*Startwerte!$B$18/4</f>
        <v/>
      </c>
      <c r="Q36" s="34">
        <f>Q35+Q$22+IF($A36&gt;Startwerte!$B$8,Startwerte!$B$7,0)+MAX(0,Q35-Startwerte!$B$5)*Startwerte!$B$18/4</f>
        <v/>
      </c>
    </row>
    <row r="37">
      <c r="A37" s="21" t="n">
        <v>14</v>
      </c>
      <c r="B37" s="34">
        <f>B36+B$22+IF($A37&gt;Startwerte!$B$8,Startwerte!$B$7,0)+MAX(0,B36-Startwerte!$B$5)*Startwerte!$B$18/4</f>
        <v/>
      </c>
      <c r="C37" s="34">
        <f>C36+C$22+IF($A37&gt;Startwerte!$B$8,Startwerte!$B$7,0)+MAX(0,C36-Startwerte!$B$5)*Startwerte!$B$18/4</f>
        <v/>
      </c>
      <c r="D37" s="34">
        <f>D36+D$22+IF($A37&gt;Startwerte!$B$8,Startwerte!$B$7,0)+MAX(0,D36-Startwerte!$B$5)*Startwerte!$B$18/4</f>
        <v/>
      </c>
      <c r="E37" s="34">
        <f>E36+E$22+IF($A37&gt;Startwerte!$B$8,Startwerte!$B$7,0)+MAX(0,E36-Startwerte!$B$5)*Startwerte!$B$18/4</f>
        <v/>
      </c>
      <c r="F37" s="34">
        <f>F36+F$22+IF($A37&gt;Startwerte!$B$8,Startwerte!$B$7,0)+MAX(0,F36-Startwerte!$B$5)*Startwerte!$B$18/4</f>
        <v/>
      </c>
      <c r="G37" s="34">
        <f>G36+G$22+IF($A37&gt;Startwerte!$B$8,Startwerte!$B$7,0)+MAX(0,G36-Startwerte!$B$5)*Startwerte!$B$18/4</f>
        <v/>
      </c>
      <c r="H37" s="34">
        <f>H36+H$22+IF($A37&gt;Startwerte!$B$8,Startwerte!$B$7,0)+MAX(0,H36-Startwerte!$B$5)*Startwerte!$B$18/4</f>
        <v/>
      </c>
      <c r="I37" s="34">
        <f>I36+I$22+IF($A37&gt;Startwerte!$B$8,Startwerte!$B$7,0)+MAX(0,I36-Startwerte!$B$5)*Startwerte!$B$18/4</f>
        <v/>
      </c>
      <c r="J37" s="34">
        <f>J36+J$22+IF($A37&gt;Startwerte!$B$8,Startwerte!$B$7,0)+MAX(0,J36-Startwerte!$B$5)*Startwerte!$B$18/4</f>
        <v/>
      </c>
      <c r="K37" s="34">
        <f>K36+K$22+IF($A37&gt;Startwerte!$B$8,Startwerte!$B$7,0)+MAX(0,K36-Startwerte!$B$5)*Startwerte!$B$18/4</f>
        <v/>
      </c>
      <c r="L37" s="34">
        <f>L36+L$22+IF($A37&gt;Startwerte!$B$8,Startwerte!$B$7,0)+MAX(0,L36-Startwerte!$B$5)*Startwerte!$B$18/4</f>
        <v/>
      </c>
      <c r="M37" s="34">
        <f>M36+M$22+IF($A37&gt;Startwerte!$B$8,Startwerte!$B$7,0)+MAX(0,M36-Startwerte!$B$5)*Startwerte!$B$18/4</f>
        <v/>
      </c>
      <c r="N37" s="34">
        <f>N36+N$22+IF($A37&gt;Startwerte!$B$8,Startwerte!$B$7,0)+MAX(0,N36-Startwerte!$B$5)*Startwerte!$B$18/4</f>
        <v/>
      </c>
      <c r="O37" s="34">
        <f>O36+O$22+IF($A37&gt;Startwerte!$B$8,Startwerte!$B$7,0)+MAX(0,O36-Startwerte!$B$5)*Startwerte!$B$18/4</f>
        <v/>
      </c>
      <c r="P37" s="34">
        <f>P36+P$22+IF($A37&gt;Startwerte!$B$8,Startwerte!$B$7,0)+MAX(0,P36-Startwerte!$B$5)*Startwerte!$B$18/4</f>
        <v/>
      </c>
      <c r="Q37" s="34">
        <f>Q36+Q$22+IF($A37&gt;Startwerte!$B$8,Startwerte!$B$7,0)+MAX(0,Q36-Startwerte!$B$5)*Startwerte!$B$18/4</f>
        <v/>
      </c>
    </row>
    <row r="38">
      <c r="A38" s="21" t="n">
        <v>15</v>
      </c>
      <c r="B38" s="34">
        <f>B37+B$22+IF($A38&gt;Startwerte!$B$8,Startwerte!$B$7,0)+MAX(0,B37-Startwerte!$B$5)*Startwerte!$B$18/4</f>
        <v/>
      </c>
      <c r="C38" s="34">
        <f>C37+C$22+IF($A38&gt;Startwerte!$B$8,Startwerte!$B$7,0)+MAX(0,C37-Startwerte!$B$5)*Startwerte!$B$18/4</f>
        <v/>
      </c>
      <c r="D38" s="34">
        <f>D37+D$22+IF($A38&gt;Startwerte!$B$8,Startwerte!$B$7,0)+MAX(0,D37-Startwerte!$B$5)*Startwerte!$B$18/4</f>
        <v/>
      </c>
      <c r="E38" s="34">
        <f>E37+E$22+IF($A38&gt;Startwerte!$B$8,Startwerte!$B$7,0)+MAX(0,E37-Startwerte!$B$5)*Startwerte!$B$18/4</f>
        <v/>
      </c>
      <c r="F38" s="34">
        <f>F37+F$22+IF($A38&gt;Startwerte!$B$8,Startwerte!$B$7,0)+MAX(0,F37-Startwerte!$B$5)*Startwerte!$B$18/4</f>
        <v/>
      </c>
      <c r="G38" s="34">
        <f>G37+G$22+IF($A38&gt;Startwerte!$B$8,Startwerte!$B$7,0)+MAX(0,G37-Startwerte!$B$5)*Startwerte!$B$18/4</f>
        <v/>
      </c>
      <c r="H38" s="34">
        <f>H37+H$22+IF($A38&gt;Startwerte!$B$8,Startwerte!$B$7,0)+MAX(0,H37-Startwerte!$B$5)*Startwerte!$B$18/4</f>
        <v/>
      </c>
      <c r="I38" s="34">
        <f>I37+I$22+IF($A38&gt;Startwerte!$B$8,Startwerte!$B$7,0)+MAX(0,I37-Startwerte!$B$5)*Startwerte!$B$18/4</f>
        <v/>
      </c>
      <c r="J38" s="34">
        <f>J37+J$22+IF($A38&gt;Startwerte!$B$8,Startwerte!$B$7,0)+MAX(0,J37-Startwerte!$B$5)*Startwerte!$B$18/4</f>
        <v/>
      </c>
      <c r="K38" s="34">
        <f>K37+K$22+IF($A38&gt;Startwerte!$B$8,Startwerte!$B$7,0)+MAX(0,K37-Startwerte!$B$5)*Startwerte!$B$18/4</f>
        <v/>
      </c>
      <c r="L38" s="34">
        <f>L37+L$22+IF($A38&gt;Startwerte!$B$8,Startwerte!$B$7,0)+MAX(0,L37-Startwerte!$B$5)*Startwerte!$B$18/4</f>
        <v/>
      </c>
      <c r="M38" s="34">
        <f>M37+M$22+IF($A38&gt;Startwerte!$B$8,Startwerte!$B$7,0)+MAX(0,M37-Startwerte!$B$5)*Startwerte!$B$18/4</f>
        <v/>
      </c>
      <c r="N38" s="34">
        <f>N37+N$22+IF($A38&gt;Startwerte!$B$8,Startwerte!$B$7,0)+MAX(0,N37-Startwerte!$B$5)*Startwerte!$B$18/4</f>
        <v/>
      </c>
      <c r="O38" s="34">
        <f>O37+O$22+IF($A38&gt;Startwerte!$B$8,Startwerte!$B$7,0)+MAX(0,O37-Startwerte!$B$5)*Startwerte!$B$18/4</f>
        <v/>
      </c>
      <c r="P38" s="34">
        <f>P37+P$22+IF($A38&gt;Startwerte!$B$8,Startwerte!$B$7,0)+MAX(0,P37-Startwerte!$B$5)*Startwerte!$B$18/4</f>
        <v/>
      </c>
      <c r="Q38" s="34">
        <f>Q37+Q$22+IF($A38&gt;Startwerte!$B$8,Startwerte!$B$7,0)+MAX(0,Q37-Startwerte!$B$5)*Startwerte!$B$18/4</f>
        <v/>
      </c>
    </row>
    <row r="39">
      <c r="A39" s="21" t="n">
        <v>16</v>
      </c>
      <c r="B39" s="34">
        <f>B38+B$22+IF($A39&gt;Startwerte!$B$8,Startwerte!$B$7,0)+MAX(0,B38-Startwerte!$B$5)*Startwerte!$B$18/4</f>
        <v/>
      </c>
      <c r="C39" s="34">
        <f>C38+C$22+IF($A39&gt;Startwerte!$B$8,Startwerte!$B$7,0)+MAX(0,C38-Startwerte!$B$5)*Startwerte!$B$18/4</f>
        <v/>
      </c>
      <c r="D39" s="34">
        <f>D38+D$22+IF($A39&gt;Startwerte!$B$8,Startwerte!$B$7,0)+MAX(0,D38-Startwerte!$B$5)*Startwerte!$B$18/4</f>
        <v/>
      </c>
      <c r="E39" s="34">
        <f>E38+E$22+IF($A39&gt;Startwerte!$B$8,Startwerte!$B$7,0)+MAX(0,E38-Startwerte!$B$5)*Startwerte!$B$18/4</f>
        <v/>
      </c>
      <c r="F39" s="34">
        <f>F38+F$22+IF($A39&gt;Startwerte!$B$8,Startwerte!$B$7,0)+MAX(0,F38-Startwerte!$B$5)*Startwerte!$B$18/4</f>
        <v/>
      </c>
      <c r="G39" s="34">
        <f>G38+G$22+IF($A39&gt;Startwerte!$B$8,Startwerte!$B$7,0)+MAX(0,G38-Startwerte!$B$5)*Startwerte!$B$18/4</f>
        <v/>
      </c>
      <c r="H39" s="34">
        <f>H38+H$22+IF($A39&gt;Startwerte!$B$8,Startwerte!$B$7,0)+MAX(0,H38-Startwerte!$B$5)*Startwerte!$B$18/4</f>
        <v/>
      </c>
      <c r="I39" s="34">
        <f>I38+I$22+IF($A39&gt;Startwerte!$B$8,Startwerte!$B$7,0)+MAX(0,I38-Startwerte!$B$5)*Startwerte!$B$18/4</f>
        <v/>
      </c>
      <c r="J39" s="34">
        <f>J38+J$22+IF($A39&gt;Startwerte!$B$8,Startwerte!$B$7,0)+MAX(0,J38-Startwerte!$B$5)*Startwerte!$B$18/4</f>
        <v/>
      </c>
      <c r="K39" s="34">
        <f>K38+K$22+IF($A39&gt;Startwerte!$B$8,Startwerte!$B$7,0)+MAX(0,K38-Startwerte!$B$5)*Startwerte!$B$18/4</f>
        <v/>
      </c>
      <c r="L39" s="34">
        <f>L38+L$22+IF($A39&gt;Startwerte!$B$8,Startwerte!$B$7,0)+MAX(0,L38-Startwerte!$B$5)*Startwerte!$B$18/4</f>
        <v/>
      </c>
      <c r="M39" s="34">
        <f>M38+M$22+IF($A39&gt;Startwerte!$B$8,Startwerte!$B$7,0)+MAX(0,M38-Startwerte!$B$5)*Startwerte!$B$18/4</f>
        <v/>
      </c>
      <c r="N39" s="34">
        <f>N38+N$22+IF($A39&gt;Startwerte!$B$8,Startwerte!$B$7,0)+MAX(0,N38-Startwerte!$B$5)*Startwerte!$B$18/4</f>
        <v/>
      </c>
      <c r="O39" s="34">
        <f>O38+O$22+IF($A39&gt;Startwerte!$B$8,Startwerte!$B$7,0)+MAX(0,O38-Startwerte!$B$5)*Startwerte!$B$18/4</f>
        <v/>
      </c>
      <c r="P39" s="34">
        <f>P38+P$22+IF($A39&gt;Startwerte!$B$8,Startwerte!$B$7,0)+MAX(0,P38-Startwerte!$B$5)*Startwerte!$B$18/4</f>
        <v/>
      </c>
      <c r="Q39" s="34">
        <f>Q38+Q$22+IF($A39&gt;Startwerte!$B$8,Startwerte!$B$7,0)+MAX(0,Q38-Startwerte!$B$5)*Startwerte!$B$18/4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2026-10-01T11:42:24Z</dcterms:created>
  <dcterms:modified xsi:type="dcterms:W3CDTF">2026-10-01T11:42:24Z</dcterms:modified>
</cp:coreProperties>
</file>